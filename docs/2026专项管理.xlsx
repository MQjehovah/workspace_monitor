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目标管理" sheetId="1" r:id="rId1"/>
    <sheet name="项目里程碑" sheetId="6" r:id="rId2"/>
    <sheet name="项目计划" sheetId="2" r:id="rId3"/>
    <sheet name="3月健康度核算" sheetId="4" r:id="rId4"/>
    <sheet name="3月目标达成核算" sheetId="5" r:id="rId5"/>
    <sheet name="绩效应用" sheetId="3" r:id="rId6"/>
  </sheets>
  <definedNames>
    <definedName name="_xlnm._FilterDatabase" localSheetId="0" hidden="1">目标管理!$A$1:$W$60</definedName>
    <definedName name="_xlnm._FilterDatabase" localSheetId="4" hidden="1">'3月目标达成核算'!$A$1:$M$60</definedName>
    <definedName name="_xlnm._FilterDatabase" localSheetId="5" hidden="1">绩效应用!#REF!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<sst xmlns="http://schemas.openxmlformats.org/spreadsheetml/2006/main" count="3506" uniqueCount="991">
  <si>
    <t>专项名称</t>
  </si>
  <si>
    <t>专项负责人</t>
  </si>
  <si>
    <t>子专项</t>
  </si>
  <si>
    <t>子专项责任人</t>
  </si>
  <si>
    <t>目标名称</t>
  </si>
  <si>
    <t>计算方式/说明</t>
  </si>
  <si>
    <t>数据来源</t>
  </si>
  <si>
    <t>数据口径是否明确</t>
  </si>
  <si>
    <t>数据获取时间</t>
  </si>
  <si>
    <t>是否量化</t>
  </si>
  <si>
    <t>是否自动化</t>
  </si>
  <si>
    <t>基线值</t>
  </si>
  <si>
    <t>年度目标值</t>
  </si>
  <si>
    <t>3月（目标）</t>
  </si>
  <si>
    <t>4月（目标）</t>
  </si>
  <si>
    <t>5月（目标）</t>
  </si>
  <si>
    <t>6月（目标）</t>
  </si>
  <si>
    <t>7月（目标）</t>
  </si>
  <si>
    <t>8月（目标）</t>
  </si>
  <si>
    <t>9月（目标）</t>
  </si>
  <si>
    <t>10月（目标）</t>
  </si>
  <si>
    <t>11月（目标）</t>
  </si>
  <si>
    <t>12月（目标）</t>
  </si>
  <si>
    <t>MTPF提升专项</t>
  </si>
  <si>
    <t>徐融</t>
  </si>
  <si>
    <t>/</t>
  </si>
  <si>
    <t>SWGT MTPF平均故障间隔时间（小时）</t>
  </si>
  <si>
    <t>MTPF = 设备运行总时长/运维介入售后工单数
基线数据：Q1作为基线
目标值：12月31日≥400h
年度目标进度：实际值/目标值</t>
  </si>
  <si>
    <t>数字中台
（季明清）</t>
  </si>
  <si>
    <t>定义清晰</t>
  </si>
  <si>
    <t>次月1日内</t>
  </si>
  <si>
    <t>是</t>
  </si>
  <si>
    <t>SW50 MTPF平均故障间隔时间（小时）</t>
  </si>
  <si>
    <r>
      <rPr>
        <sz val="9"/>
        <color theme="1"/>
        <rFont val="宋体"/>
        <charset val="134"/>
      </rPr>
      <t xml:space="preserve">MTPF = </t>
    </r>
    <r>
      <rPr>
        <sz val="9"/>
        <color rgb="FF000000"/>
        <rFont val="宋体"/>
        <charset val="134"/>
      </rPr>
      <t>设备运行总时长/运维介入售后工单数
基线数据：Q1作为基线
目标值：12月31日≥400h
年度目标进度：实际值/目标值</t>
    </r>
  </si>
  <si>
    <t>Titan810 MTPF平均故障间隔时间（小时）</t>
  </si>
  <si>
    <t>SWGT "1460"指标（小时）</t>
  </si>
  <si>
    <r>
      <rPr>
        <sz val="9"/>
        <color theme="1"/>
        <rFont val="宋体"/>
        <charset val="134"/>
      </rPr>
      <t>1460 = 设备运行总时长/</t>
    </r>
    <r>
      <rPr>
        <sz val="9"/>
        <color rgb="FFFF0000"/>
        <rFont val="宋体"/>
        <charset val="134"/>
      </rPr>
      <t>（软件自恢复失败次数+硬件维修次数）</t>
    </r>
    <r>
      <rPr>
        <sz val="9"/>
        <color theme="1"/>
        <rFont val="宋体"/>
        <charset val="134"/>
      </rPr>
      <t xml:space="preserve">
基线数据：
目标值：12月31日≥2000h
年度目标进度：实际值/目标值</t>
    </r>
  </si>
  <si>
    <t>数字中台
（季明清）
维修单
（郭轶）
袁德明核算</t>
  </si>
  <si>
    <t>待定</t>
  </si>
  <si>
    <t>SW50 "1460"指标（小时）</t>
  </si>
  <si>
    <r>
      <rPr>
        <sz val="9"/>
        <color rgb="FF000000"/>
        <rFont val="宋体"/>
        <charset val="134"/>
      </rPr>
      <t>1460 = 设备运行总时长/</t>
    </r>
    <r>
      <rPr>
        <sz val="9"/>
        <color rgb="FFFF0000"/>
        <rFont val="宋体"/>
        <charset val="134"/>
      </rPr>
      <t>（软件自恢复失败次数+硬件维修次数）</t>
    </r>
    <r>
      <rPr>
        <sz val="9"/>
        <color theme="1"/>
        <rFont val="宋体"/>
        <charset val="134"/>
      </rPr>
      <t xml:space="preserve">
基线数据：
目标值：12月31日≥2000h
年度目标进度：实际值/目标值</t>
    </r>
  </si>
  <si>
    <t>Titan810 "1460"指标（小时）</t>
  </si>
  <si>
    <t>8H部署专项</t>
  </si>
  <si>
    <t>崔凯旋</t>
  </si>
  <si>
    <t>SWGT 部署时长（小时）</t>
  </si>
  <si>
    <t>从进场到完成部署的总耗时（小时）
基线数据：2025年全年平均值
目标值：8月31日前实现SW GT 8小时内完成机器部署
目标进度：目标值/实际值</t>
  </si>
  <si>
    <t>数字中台
（郭轶）</t>
  </si>
  <si>
    <t>Titan810 部署时长（小时）</t>
  </si>
  <si>
    <t>从进场到完成部署的总耗时（小时）
基线数据：2025年全年平均值
目标值：12月31日前实现Titan 810 8小时内完成机器部署
目标进度：目标值/实际值</t>
  </si>
  <si>
    <t>数字中台专项</t>
  </si>
  <si>
    <t>季明清</t>
  </si>
  <si>
    <t>MES上线</t>
  </si>
  <si>
    <r>
      <t>非量化指标，以系统上线（100%）节点为准</t>
    </r>
    <r>
      <rPr>
        <sz val="9"/>
        <color rgb="FF000000"/>
        <rFont val="宋体"/>
        <charset val="134"/>
      </rPr>
      <t xml:space="preserve">
基线数据：不涉及
目标值：4月底前完成MES上线
月度完成率：上线：100%、未上线：无风险70%、有风险：40%；每提前一天+2%
目标进度：30%+30%+40%</t>
    </r>
  </si>
  <si>
    <t>评审报告
（公司级-季明清）</t>
  </si>
  <si>
    <t>否</t>
  </si>
  <si>
    <t>非量化指标
不涉及</t>
  </si>
  <si>
    <t>4月底前完成MES上线</t>
  </si>
  <si>
    <t>—</t>
  </si>
  <si>
    <t>三流合一</t>
  </si>
  <si>
    <t>非量化指标，以系统上线（100%）节点为准
基线数据：不涉及
目标值：6月底前支撑财务和供应链管理
月度完成率：上线：100%、未上线：无风险70%、有风险：40%；每提前一天+2%
目标进度：30%+30%+40%</t>
  </si>
  <si>
    <t>6月底前支撑财务和供应链管理</t>
  </si>
  <si>
    <t>财务及供应链管理上线</t>
  </si>
  <si>
    <t>0号员工上线</t>
  </si>
  <si>
    <t>非量化指标，以系统上线（100%）节点为准
基线数据：不涉及
目标值：8月底前完成0号员工上线
月度完成率：上线：100%、未上线：无风险70%、有风险：40%；每提前一天+2%
目标进度：30%+30%+40%</t>
  </si>
  <si>
    <t>8月底前完成0号员工上线</t>
  </si>
  <si>
    <t>0号员工上线（8月底）</t>
  </si>
  <si>
    <t>质量提升专项</t>
  </si>
  <si>
    <t>吴赛</t>
  </si>
  <si>
    <t>合同质量</t>
  </si>
  <si>
    <t>张海滨</t>
  </si>
  <si>
    <t>合同质量-异常率</t>
  </si>
  <si>
    <r>
      <t>合同异常率=异常合同数/签约合同总数</t>
    </r>
    <r>
      <rPr>
        <u/>
        <sz val="9"/>
        <color rgb="FFFF0000"/>
        <rFont val="宋体"/>
        <charset val="134"/>
      </rPr>
      <t>（定义不清楚）</t>
    </r>
    <r>
      <rPr>
        <sz val="9"/>
        <color rgb="FF000000"/>
        <rFont val="宋体"/>
        <charset val="134"/>
      </rPr>
      <t xml:space="preserve">
基线数据</t>
    </r>
    <r>
      <rPr>
        <sz val="9"/>
        <rFont val="宋体"/>
        <charset val="134"/>
      </rPr>
      <t>：不涉及</t>
    </r>
    <r>
      <rPr>
        <sz val="9"/>
        <color rgb="FF000000"/>
        <rFont val="宋体"/>
        <charset val="134"/>
      </rPr>
      <t xml:space="preserve">
目标值：合同异常率≤5%
目标进度：</t>
    </r>
    <r>
      <rPr>
        <sz val="9"/>
        <rFont val="宋体"/>
        <charset val="134"/>
      </rPr>
      <t>目标值/实际值</t>
    </r>
  </si>
  <si>
    <r>
      <t>徐萍提供
合同变更</t>
    </r>
    <r>
      <rPr>
        <sz val="9"/>
        <color rgb="FFFF0000"/>
        <rFont val="宋体"/>
        <charset val="134"/>
      </rPr>
      <t xml:space="preserve">
销售管理办公室
</t>
    </r>
  </si>
  <si>
    <t>定义不明确</t>
  </si>
  <si>
    <t>≤5%</t>
  </si>
  <si>
    <t>合同质量-非正常优惠率</t>
  </si>
  <si>
    <r>
      <t>非正常优惠率=非正常优惠合同金额/合同总额</t>
    </r>
    <r>
      <rPr>
        <u/>
        <sz val="9"/>
        <color rgb="FFFF0000"/>
        <rFont val="宋体"/>
        <charset val="134"/>
      </rPr>
      <t>（定义不清楚）</t>
    </r>
    <r>
      <rPr>
        <sz val="9"/>
        <color rgb="FF000000"/>
        <rFont val="宋体"/>
        <charset val="134"/>
      </rPr>
      <t xml:space="preserve">
基线数据：</t>
    </r>
    <r>
      <rPr>
        <sz val="9"/>
        <rFont val="宋体"/>
        <charset val="134"/>
      </rPr>
      <t>不涉及</t>
    </r>
    <r>
      <rPr>
        <sz val="9"/>
        <color rgb="FF000000"/>
        <rFont val="宋体"/>
        <charset val="134"/>
      </rPr>
      <t xml:space="preserve">
目标值：非正常优惠合同比例≤10%
目标进度：</t>
    </r>
    <r>
      <rPr>
        <sz val="9"/>
        <color theme="1"/>
        <rFont val="宋体"/>
        <charset val="134"/>
      </rPr>
      <t>目标值/实际值</t>
    </r>
  </si>
  <si>
    <r>
      <t>张海滨+徐萍</t>
    </r>
    <r>
      <rPr>
        <sz val="9"/>
        <color rgb="FFFF0000"/>
        <rFont val="宋体"/>
        <charset val="134"/>
      </rPr>
      <t xml:space="preserve">
销售管理办公室</t>
    </r>
  </si>
  <si>
    <t>≤10%</t>
  </si>
  <si>
    <t>研发质量</t>
  </si>
  <si>
    <t>袁德明</t>
  </si>
  <si>
    <t>研发质量-SWGT测试泄漏率</t>
  </si>
  <si>
    <t>测试泄漏率 = 现场问题总数 / (测试故障数+生产问题数+现场问题数)--不包含重复问题、非问题
基线数据：高于底线值40%不得分
目标值：截至12月31日所有数据
目标进度：（底线值-实际值）/(底线值-目标值)</t>
  </si>
  <si>
    <t>JIRA
袁德明核算</t>
  </si>
  <si>
    <t>研发质量-Titan810测试泄漏率</t>
  </si>
  <si>
    <t>测试泄漏率 = 现场问题总数 / (测试故障数+生产问题数+现场问题数)--不包含重复问题、非问题
基线数据：高于底线值40%不得分
目标值：2025年开始截至2026年12月所有数据
目标进度：（底线值-实际值）/(底线值-目标值)</t>
  </si>
  <si>
    <t>研发质量-JIRA及时关闭率</t>
  </si>
  <si>
    <t>JIRA现场问题/测试故障/生产问题中，30天内已关闭数/总数--历史解决+新增30天解决
基线数据：2026年Q1数据
目标值：2026年Q4数据
目标进度：（实际值-基线值）/(目标值-基线值)</t>
  </si>
  <si>
    <t>采购质量</t>
  </si>
  <si>
    <t>巴路瑶</t>
  </si>
  <si>
    <t>采购质量-来料批次不良</t>
  </si>
  <si>
    <t>每月来料检验中不良批次数量
基线数据：暂无
目标值：0
目标进度：按当月有无，判定0或100%</t>
  </si>
  <si>
    <t>供应链提供
质量审核
（巴路瑶）</t>
  </si>
  <si>
    <t>暂无</t>
  </si>
  <si>
    <t>来料批次不良0次</t>
  </si>
  <si>
    <t>0次</t>
  </si>
  <si>
    <t>生产质量</t>
  </si>
  <si>
    <t>生产过程质量-SWGT 开箱合格率</t>
  </si>
  <si>
    <r>
      <rPr>
        <sz val="9"/>
        <color rgb="FF000000"/>
        <rFont val="宋体"/>
        <charset val="134"/>
      </rPr>
      <t>开箱合格率 = 开箱合格台数/总出货台数
基线数据：</t>
    </r>
    <r>
      <rPr>
        <sz val="9"/>
        <rFont val="宋体"/>
        <charset val="134"/>
      </rPr>
      <t>2025年全年80.6%</t>
    </r>
    <r>
      <rPr>
        <sz val="9"/>
        <color rgb="FF000000"/>
        <rFont val="宋体"/>
        <charset val="134"/>
      </rPr>
      <t xml:space="preserve">
目标值：开箱合格率≥98%（10-12月）
目标进度：（实际值-基线值）/(目标值-基线值)</t>
    </r>
  </si>
  <si>
    <t>质量统计
（吴赛）</t>
  </si>
  <si>
    <t>生产过程质量-SW50 开箱合格率</t>
  </si>
  <si>
    <r>
      <rPr>
        <sz val="9"/>
        <color rgb="FF000000"/>
        <rFont val="宋体"/>
        <charset val="134"/>
      </rPr>
      <t>开箱合格率 = 开箱合格台数/总出货台数
基线数据：</t>
    </r>
    <r>
      <rPr>
        <sz val="9"/>
        <rFont val="宋体"/>
        <charset val="134"/>
      </rPr>
      <t>2025年全年80.42%</t>
    </r>
    <r>
      <rPr>
        <sz val="9"/>
        <color rgb="FF000000"/>
        <rFont val="宋体"/>
        <charset val="134"/>
      </rPr>
      <t xml:space="preserve">
目标值：开箱合格率≥98%（10-12月）
目标进度：（实际值-基线值）/(目标值-基线值)</t>
    </r>
  </si>
  <si>
    <t>生产过程质量-Titan810 开箱合格率</t>
  </si>
  <si>
    <r>
      <rPr>
        <sz val="9"/>
        <color rgb="FF000000"/>
        <rFont val="宋体"/>
        <charset val="134"/>
      </rPr>
      <t>开箱合格率 = 开箱合格台数/总出货台数
基</t>
    </r>
    <r>
      <rPr>
        <sz val="9"/>
        <rFont val="宋体"/>
        <charset val="134"/>
      </rPr>
      <t>线数据：2025年全年75%</t>
    </r>
    <r>
      <rPr>
        <sz val="9"/>
        <color rgb="FF000000"/>
        <rFont val="宋体"/>
        <charset val="134"/>
      </rPr>
      <t xml:space="preserve">
目标值：开箱合格率≥98%（10-12月）
目标进度：（实际值-基线值）/(目标值-基线值)</t>
    </r>
  </si>
  <si>
    <t>生产过程质量-SWGT 90天内维修率</t>
  </si>
  <si>
    <r>
      <rPr>
        <sz val="9"/>
        <color rgb="FF000000"/>
        <rFont val="宋体"/>
        <charset val="134"/>
      </rPr>
      <t>90天内维修率 = 90天内发生维修的台数/总出货台数
基线数据</t>
    </r>
    <r>
      <rPr>
        <sz val="9"/>
        <rFont val="宋体"/>
        <charset val="134"/>
      </rPr>
      <t>：无</t>
    </r>
    <r>
      <rPr>
        <sz val="9"/>
        <color rgb="FF000000"/>
        <rFont val="宋体"/>
        <charset val="134"/>
      </rPr>
      <t xml:space="preserve">
目标值：90天内维修率≤3%（10-12月）
目标进度：目标值/实际值</t>
    </r>
  </si>
  <si>
    <t>生产过程质量-SW50 90天内维修率</t>
  </si>
  <si>
    <t>生产过程质量-Titan810 90天内维修率</t>
  </si>
  <si>
    <r>
      <rPr>
        <sz val="9"/>
        <color rgb="FF000000"/>
        <rFont val="宋体"/>
        <charset val="134"/>
      </rPr>
      <t>90天内维修率 = 90天内发生维修的台数/总出货台数
基线数据：</t>
    </r>
    <r>
      <rPr>
        <sz val="9"/>
        <rFont val="宋体"/>
        <charset val="134"/>
      </rPr>
      <t>无</t>
    </r>
    <r>
      <rPr>
        <sz val="9"/>
        <color rgb="FF000000"/>
        <rFont val="宋体"/>
        <charset val="134"/>
      </rPr>
      <t xml:space="preserve">
目标值：90天内维修率≤3%（10-12月）
目标进度：目标值/实际值</t>
    </r>
  </si>
  <si>
    <t>售后质量</t>
  </si>
  <si>
    <t>售后质量-问题一次性解决率</t>
  </si>
  <si>
    <r>
      <rPr>
        <sz val="9"/>
        <rFont val="宋体"/>
        <charset val="134"/>
      </rPr>
      <t>售后问题一次解决数/解决总数</t>
    </r>
    <r>
      <rPr>
        <sz val="9"/>
        <color rgb="FF000000"/>
        <rFont val="宋体"/>
        <charset val="134"/>
      </rPr>
      <t xml:space="preserve">
</t>
    </r>
    <r>
      <rPr>
        <sz val="9"/>
        <color rgb="FFFF0000"/>
        <rFont val="宋体"/>
        <charset val="134"/>
      </rPr>
      <t>在系统未上线之前，数字中台中的售后维修流程统计（通过一台机器90天内的重复维修计算）</t>
    </r>
    <r>
      <rPr>
        <sz val="9"/>
        <color rgb="FF000000"/>
        <rFont val="宋体"/>
        <charset val="134"/>
      </rPr>
      <t xml:space="preserve">
基线数据：待补充
目标值：≥95%
目标进度：实际值/目标值</t>
    </r>
  </si>
  <si>
    <t>6月前手工
6月后系统
（郭轶）</t>
  </si>
  <si>
    <t>需要基线值计算进度和月度目标达成率</t>
  </si>
  <si>
    <t>售后质量-平均解决时效（一线城市）（小时）</t>
  </si>
  <si>
    <r>
      <rPr>
        <sz val="9"/>
        <rFont val="宋体"/>
        <charset val="134"/>
      </rPr>
      <t>售后问题从提出到解决时间</t>
    </r>
    <r>
      <rPr>
        <sz val="9"/>
        <color rgb="FF000000"/>
        <rFont val="宋体"/>
        <charset val="134"/>
      </rPr>
      <t xml:space="preserve">
</t>
    </r>
    <r>
      <rPr>
        <sz val="9"/>
        <color rgb="FFFF0000"/>
        <rFont val="宋体"/>
        <charset val="134"/>
      </rPr>
      <t>在系统未上线之前，以维修工单的起止时间计算</t>
    </r>
    <r>
      <rPr>
        <sz val="9"/>
        <color rgb="FF000000"/>
        <rFont val="宋体"/>
        <charset val="134"/>
      </rPr>
      <t xml:space="preserve">
基线数据：暂无
目标值：≤48H
目标进度：（基线值-实际值）/(基线值-目标值)</t>
    </r>
  </si>
  <si>
    <t>72H</t>
  </si>
  <si>
    <t>48H</t>
  </si>
  <si>
    <t>售后质量-平均解决时效（二线城市）（小时）</t>
  </si>
  <si>
    <r>
      <rPr>
        <sz val="9"/>
        <rFont val="宋体"/>
        <charset val="134"/>
      </rPr>
      <t>售后问题从提出到解决时间</t>
    </r>
    <r>
      <rPr>
        <sz val="9"/>
        <color rgb="FF000000"/>
        <rFont val="宋体"/>
        <charset val="134"/>
      </rPr>
      <t xml:space="preserve">
在系统未上线之前，以维修工单的起止时间计算
基线数据：暂无
目标值：≤72H
目标进度：（基线值-实际值）/(基线值-目标值)</t>
    </r>
  </si>
  <si>
    <t>120H</t>
  </si>
  <si>
    <t>96H</t>
  </si>
  <si>
    <t>售后质量-平均解决时效（海外核心国家）（小时）</t>
  </si>
  <si>
    <r>
      <rPr>
        <sz val="9"/>
        <rFont val="宋体"/>
        <charset val="134"/>
      </rPr>
      <t>售后问题从提出到解决时间</t>
    </r>
    <r>
      <rPr>
        <sz val="9"/>
        <color rgb="FF000000"/>
        <rFont val="宋体"/>
        <charset val="134"/>
      </rPr>
      <t xml:space="preserve">
在系统未上线之前，以维修工单的起止时间计算
基线数据：暂无
目标值：≤48H
目标进度：（基线值-实际值）/(基线值-目标值)</t>
    </r>
  </si>
  <si>
    <t>售后质量-平均解决时效（海外其他国家）（小时）</t>
  </si>
  <si>
    <t>渠道管理能力提升</t>
  </si>
  <si>
    <t>经销商收入</t>
  </si>
  <si>
    <t>经销商收入（累计）</t>
  </si>
  <si>
    <t>各月经销商实际签约/交付收入累计额
基线数据：暂无
目标值：12月经销商累计收入1.6亿元
目标进度：实际值/目标值</t>
  </si>
  <si>
    <t>财务提供总数合同签约明细，运营拆分
袁子清
徐萍</t>
  </si>
  <si>
    <t>上线前：次月18日内</t>
  </si>
  <si>
    <t>1500万</t>
  </si>
  <si>
    <t>2000万</t>
  </si>
  <si>
    <t>2800万</t>
  </si>
  <si>
    <t>4600万</t>
  </si>
  <si>
    <t>6000万</t>
  </si>
  <si>
    <t>8000万</t>
  </si>
  <si>
    <t>9000万</t>
  </si>
  <si>
    <t>1.2亿</t>
  </si>
  <si>
    <t>1.4亿</t>
  </si>
  <si>
    <t>1.6亿</t>
  </si>
  <si>
    <t>新增经销商数量（月新增）</t>
  </si>
  <si>
    <r>
      <t xml:space="preserve">每月新签合作协议的经销商数量
基线数据：暂无
</t>
    </r>
    <r>
      <rPr>
        <sz val="9"/>
        <rFont val="宋体"/>
        <charset val="134"/>
      </rPr>
      <t>目标值：每月新增经销商3个，
月度按3个去算，半年度和年度可以累积计算</t>
    </r>
    <r>
      <rPr>
        <sz val="9"/>
        <color theme="1"/>
        <rFont val="宋体"/>
        <charset val="134"/>
      </rPr>
      <t xml:space="preserve">
目标进度：实际值/目标值</t>
    </r>
  </si>
  <si>
    <t>渠道管理部提供
张海滨</t>
  </si>
  <si>
    <t>新增3个</t>
  </si>
  <si>
    <t>经销商存销比</t>
  </si>
  <si>
    <r>
      <t>存销比 = 经销商库存 / 月销量</t>
    </r>
    <r>
      <rPr>
        <sz val="9"/>
        <color rgb="FFFF0000"/>
        <rFont val="宋体"/>
        <charset val="134"/>
      </rPr>
      <t>（暂定，崔老师提供）</t>
    </r>
    <r>
      <rPr>
        <sz val="9"/>
        <color theme="1"/>
        <rFont val="宋体"/>
        <charset val="134"/>
      </rPr>
      <t xml:space="preserve">
基线数据：暂无
目标值：Q3起存销比≤1.5:1
目标进度：目标值/实际值</t>
    </r>
  </si>
  <si>
    <r>
      <t xml:space="preserve">财务提供
</t>
    </r>
    <r>
      <rPr>
        <u/>
        <sz val="9"/>
        <color theme="4"/>
        <rFont val="宋体"/>
        <charset val="134"/>
      </rPr>
      <t>崔凯旋</t>
    </r>
  </si>
  <si>
    <t>2:1</t>
  </si>
  <si>
    <t>1.5:1</t>
  </si>
  <si>
    <t>经销商复购率</t>
  </si>
  <si>
    <t>复购率 = 有复购行为的经销商数 / 存量经销商总数
基线数据：暂无
目标值：12月经销商复购率达70%
目标进度：实际值/目标值</t>
  </si>
  <si>
    <r>
      <t xml:space="preserve">财务提供
</t>
    </r>
    <r>
      <rPr>
        <u/>
        <sz val="9"/>
        <color theme="4"/>
        <rFont val="宋体"/>
        <charset val="134"/>
      </rPr>
      <t>徐萍提供</t>
    </r>
  </si>
  <si>
    <t>70%</t>
  </si>
  <si>
    <t>经销商服务收费</t>
  </si>
  <si>
    <t>国际累计收费服务经销商占比</t>
  </si>
  <si>
    <t>基线数据：暂无
目标值：国内国际累计收费服务经销商比例占比超过35%
目标进度：实际值/目标值</t>
  </si>
  <si>
    <r>
      <t xml:space="preserve">运营管理部提供
崔老师
</t>
    </r>
    <r>
      <rPr>
        <u/>
        <sz val="9"/>
        <color theme="4"/>
        <rFont val="宋体"/>
        <charset val="134"/>
      </rPr>
      <t>徐萍提供</t>
    </r>
  </si>
  <si>
    <t>6月，完成经销商服务收费合同模板修订并进行发布</t>
  </si>
  <si>
    <t>7月，新签国际经销商POC服务收费</t>
  </si>
  <si>
    <t>累积35%</t>
  </si>
  <si>
    <t>国内累计收费服务经销商占比</t>
  </si>
  <si>
    <t>8月MTPF达到100小时，GT达到8小时部署后，所有国内新签经销商POC服务收费</t>
  </si>
  <si>
    <t>Marketing能力提升</t>
  </si>
  <si>
    <t>毛利率</t>
  </si>
  <si>
    <r>
      <t xml:space="preserve">毛利率 = (收入 - 成本) / 收入
基线数据：暂无
</t>
    </r>
    <r>
      <rPr>
        <sz val="9"/>
        <rFont val="宋体"/>
        <charset val="134"/>
      </rPr>
      <t>目标值：12月毛利率达60%</t>
    </r>
    <r>
      <rPr>
        <sz val="9"/>
        <color rgb="FF000000"/>
        <rFont val="宋体"/>
        <charset val="134"/>
      </rPr>
      <t xml:space="preserve">
目标进度：实际值/目标值（负数为0）</t>
    </r>
  </si>
  <si>
    <t>财务数据
袁子清</t>
  </si>
  <si>
    <t>次月18日提供</t>
  </si>
  <si>
    <t>应收周转天数</t>
  </si>
  <si>
    <r>
      <t>应收账款转化为现金的等待时间</t>
    </r>
    <r>
      <rPr>
        <sz val="9"/>
        <color rgb="FF000000"/>
        <rFont val="宋体"/>
        <charset val="134"/>
      </rPr>
      <t xml:space="preserve">
基线数据：不涉及
目标值：</t>
    </r>
    <r>
      <rPr>
        <sz val="9"/>
        <rFont val="宋体"/>
        <charset val="134"/>
      </rPr>
      <t>12月应收周转天数≤40天</t>
    </r>
    <r>
      <rPr>
        <sz val="9"/>
        <color rgb="FF000000"/>
        <rFont val="宋体"/>
        <charset val="134"/>
      </rPr>
      <t xml:space="preserve">
月度完成率：
目标进度：目标值/实际值</t>
    </r>
  </si>
  <si>
    <t>98天</t>
  </si>
  <si>
    <t>60天</t>
  </si>
  <si>
    <t>56天</t>
  </si>
  <si>
    <t>55天</t>
  </si>
  <si>
    <t>50天</t>
  </si>
  <si>
    <t>48天</t>
  </si>
  <si>
    <t>46天</t>
  </si>
  <si>
    <t>45天</t>
  </si>
  <si>
    <t>42天</t>
  </si>
  <si>
    <t>40天</t>
  </si>
  <si>
    <t>政府资金专项</t>
  </si>
  <si>
    <t>何波</t>
  </si>
  <si>
    <t>政府资金到账额（万元）</t>
  </si>
  <si>
    <t>实际到账/减免金额累计
基线数据：0
目标值：到账1750万元（含减免费用）南京1000万，嘉兴750万
目标进度：实际值/目标值</t>
  </si>
  <si>
    <t>财务确认
袁子清</t>
  </si>
  <si>
    <t>到账300万</t>
  </si>
  <si>
    <t>C17栋房租减免155万+红枫科技园减免432万</t>
  </si>
  <si>
    <t>到账150万</t>
  </si>
  <si>
    <t>红枫科技园装修款到账500万</t>
  </si>
  <si>
    <t>申报省级双创团队</t>
  </si>
  <si>
    <t>嘉兴南湖750万到账
80万元到账；500万元获批；</t>
  </si>
  <si>
    <t>新增政府资金获批（万元）</t>
  </si>
  <si>
    <t>累计政府获批资金（补贴或减免）
基线数据：0
目标值：新增3000万获批，南京500万，嘉兴1500万，深圳1000万
目标进度：实际值/目标值</t>
  </si>
  <si>
    <t>政府批示文件
何波举证</t>
  </si>
  <si>
    <t>嘉兴项目公司注册，人才项目申请</t>
  </si>
  <si>
    <t>深圳落地公司注册</t>
  </si>
  <si>
    <t>申请设备投资补助300万元
节约租金约45万元</t>
  </si>
  <si>
    <t>获批1000万元
获批1345万元</t>
  </si>
  <si>
    <t>南京政府资金，500万元获批；</t>
  </si>
  <si>
    <t>降本专项</t>
  </si>
  <si>
    <t>非独家占比</t>
  </si>
  <si>
    <t>陈栋力</t>
  </si>
  <si>
    <t>GT非独家物料占比</t>
  </si>
  <si>
    <t>GT非独家物料金额 / GT物料总额
基线数据：以2026年2月为基线
目标值：6月底GT非独家占比达到85%
目标进度：实际值/目标值</t>
  </si>
  <si>
    <r>
      <t xml:space="preserve">质量统计
以BOM为准
</t>
    </r>
    <r>
      <rPr>
        <u/>
        <sz val="9"/>
        <color theme="4"/>
        <rFont val="宋体"/>
        <charset val="134"/>
      </rPr>
      <t>陈栋力</t>
    </r>
  </si>
  <si>
    <t>T810非独家物料占比</t>
  </si>
  <si>
    <t>T810非独家物料金额 / T810物料总额
基线数据：以2026年2月为基线
目标值：6月底T810非独家占比达到65%
目标进度：实际值/目标值</t>
  </si>
  <si>
    <t>降本</t>
  </si>
  <si>
    <t>GT BOM成本降低（元）</t>
  </si>
  <si>
    <t>采购成本降低额（含税，相对基准BOM）
基线数据：以2025年12月为基线
目标值：10000元（含税），6月前采购额，7月后发货额
目标进度：实际值/目标值</t>
  </si>
  <si>
    <t>生产提供（巴路瑶），财务核实（袁子清）</t>
  </si>
  <si>
    <t>GT包装成本降低（元）</t>
  </si>
  <si>
    <t>包装成本降低额（元/套），相对现有包装成本
基线数据：以2025年12月为基线
目标值：330元，6月前采购额，7月后发货额
目标进度：实际值/目标值</t>
  </si>
  <si>
    <t>810 BOM成本降低（元）</t>
  </si>
  <si>
    <t>采购成本降低额（含税，相对基准BOM）
基线数据：以2025年12月为基线
目标值：30000元（含税），6月前采购额，7月后发货额
目标进度：实际值/目标值</t>
  </si>
  <si>
    <t>810包装成本降低（元）</t>
  </si>
  <si>
    <t>包装成本降低额（元/套），相对现有包装成本
基线数据：以2025年12月为基线
目标值：707元，6月前采购额，7月后发货额
目标进度：实际值/目标值</t>
  </si>
  <si>
    <t>生产提效降费专项</t>
  </si>
  <si>
    <t>夏文昊</t>
  </si>
  <si>
    <t>全年生产成本占比</t>
  </si>
  <si>
    <t>生产成本（人工/固定资产折旧/水电）/发货成本
基线数据：以2025年度为基线（不包括水电费）
目标值：全年生产成本占比不高于6%
目标进度：目标值/实际值</t>
  </si>
  <si>
    <t>财务数据
（袁子清）</t>
  </si>
  <si>
    <t>库存周转专项</t>
  </si>
  <si>
    <t>张珂铜</t>
  </si>
  <si>
    <t>库存周转</t>
  </si>
  <si>
    <t>库存周转天数</t>
  </si>
  <si>
    <r>
      <t>3、4、5缺少月度目标</t>
    </r>
    <r>
      <rPr>
        <sz val="9"/>
        <color rgb="FF000000"/>
        <rFont val="宋体"/>
        <charset val="134"/>
      </rPr>
      <t xml:space="preserve">
周期初、末总成本均值为A，周期内发货成本B
库存周转天数=周期天数/（B/A）
基线数据：以2026年3月为基线
目标值：全年库存周转天数达到55天（12月）
目标进度：目标值/实际值</t>
    </r>
  </si>
  <si>
    <t>发货准确率</t>
  </si>
  <si>
    <t>SWGT发货预测准确率-1周</t>
  </si>
  <si>
    <r>
      <rPr>
        <sz val="9"/>
        <color rgb="FF000000"/>
        <rFont val="宋体"/>
        <charset val="134"/>
      </rPr>
      <t>min(当周发货数/预测数,当周预测数/发货数
基线数据：</t>
    </r>
    <r>
      <rPr>
        <sz val="9"/>
        <color theme="1"/>
        <rFont val="宋体"/>
        <charset val="134"/>
      </rPr>
      <t>20%（本周）</t>
    </r>
    <r>
      <rPr>
        <sz val="9"/>
        <color rgb="FF000000"/>
        <rFont val="宋体"/>
        <charset val="134"/>
      </rPr>
      <t xml:space="preserve">
目标值：1周预测准确率100%</t>
    </r>
    <r>
      <rPr>
        <sz val="9"/>
        <color rgb="FFFF0000"/>
        <rFont val="宋体"/>
        <charset val="134"/>
      </rPr>
      <t>（左右浮动5%）</t>
    </r>
    <r>
      <rPr>
        <sz val="9"/>
        <color rgb="FF000000"/>
        <rFont val="宋体"/>
        <charset val="134"/>
      </rPr>
      <t xml:space="preserve">
目标进度：（实际值-基线值）/(目标值-基线值)</t>
    </r>
  </si>
  <si>
    <t>运营管理部
(徐萍提供
崔凯旋审核)</t>
  </si>
  <si>
    <t>SW50发货预测准确率-1周</t>
  </si>
  <si>
    <r>
      <rPr>
        <sz val="9"/>
        <color rgb="FF000000"/>
        <rFont val="宋体"/>
        <charset val="134"/>
      </rPr>
      <t>当周发货数/预测数
基线数据：</t>
    </r>
    <r>
      <rPr>
        <sz val="9"/>
        <color theme="1"/>
        <rFont val="宋体"/>
        <charset val="134"/>
      </rPr>
      <t>20%（本周）</t>
    </r>
    <r>
      <rPr>
        <sz val="9"/>
        <color rgb="FF000000"/>
        <rFont val="宋体"/>
        <charset val="134"/>
      </rPr>
      <t xml:space="preserve">
目标值：1周预测准确率100%</t>
    </r>
    <r>
      <rPr>
        <sz val="9"/>
        <color rgb="FFFF0000"/>
        <rFont val="宋体"/>
        <charset val="134"/>
      </rPr>
      <t>（左右浮动5%）</t>
    </r>
    <r>
      <rPr>
        <sz val="9"/>
        <color rgb="FF000000"/>
        <rFont val="宋体"/>
        <charset val="134"/>
      </rPr>
      <t xml:space="preserve">
目标进度：（实际值-基线值）/(目标值-基线值)</t>
    </r>
  </si>
  <si>
    <t>Titan810发货预测准确率-1周</t>
  </si>
  <si>
    <t>SWGT发货预测准确率-4周</t>
  </si>
  <si>
    <r>
      <rPr>
        <sz val="9"/>
        <color rgb="FF000000"/>
        <rFont val="宋体"/>
        <charset val="134"/>
      </rPr>
      <t>4周滚动预测准确率--</t>
    </r>
    <r>
      <rPr>
        <sz val="9"/>
        <color rgb="FFFF0000"/>
        <rFont val="宋体"/>
        <charset val="134"/>
      </rPr>
      <t>-没有4周？</t>
    </r>
    <r>
      <rPr>
        <sz val="9"/>
        <color rgb="FF000000"/>
        <rFont val="宋体"/>
        <charset val="134"/>
      </rPr>
      <t xml:space="preserve">
基线数据：暂无
目标值：4周预测准确率≥85%
目标进度：（实际值-基线值）/(目标值-基线值)</t>
    </r>
  </si>
  <si>
    <t>SW50发货预测准确率-4周</t>
  </si>
  <si>
    <t>Titan810发货预测准确率-4周</t>
  </si>
  <si>
    <t>SWGT发货预测准确率-5周</t>
  </si>
  <si>
    <t>5周滚动预测准确率--暂无数据
基线数据：暂无
目标值：5周预测准确率≥70%
目标进度：（实际值-基线值）/(目标值-基线值)</t>
  </si>
  <si>
    <t>SW50发货预测准确率-5周</t>
  </si>
  <si>
    <t>Titan810发货预测准确率-5周</t>
  </si>
  <si>
    <t>预算管理能力提升专项</t>
  </si>
  <si>
    <t>袭丽丽</t>
  </si>
  <si>
    <t>主营业务经营性现金流</t>
  </si>
  <si>
    <r>
      <rPr>
        <sz val="9"/>
        <rFont val="宋体"/>
        <charset val="134"/>
      </rPr>
      <t xml:space="preserve">主营业务经营性现金流净额（财务报表数据）
</t>
    </r>
    <r>
      <rPr>
        <sz val="9"/>
        <color rgb="FFFF0000"/>
        <rFont val="宋体"/>
        <charset val="134"/>
      </rPr>
      <t>月度目标为单月目标，非年度累积</t>
    </r>
    <r>
      <rPr>
        <sz val="9"/>
        <rFont val="宋体"/>
        <charset val="134"/>
      </rPr>
      <t xml:space="preserve">
基线数据：暂无
目标值：主营业务经营性现金流为正
目标进度：（实际值-基线值）/(目标值-基线值)</t>
    </r>
  </si>
  <si>
    <r>
      <t xml:space="preserve">财务数据
</t>
    </r>
    <r>
      <rPr>
        <u/>
        <sz val="9"/>
        <color theme="4"/>
        <rFont val="宋体"/>
        <charset val="134"/>
      </rPr>
      <t>袁子清</t>
    </r>
  </si>
  <si>
    <t>核算能力提升专项</t>
  </si>
  <si>
    <t>财务报表出具时效</t>
  </si>
  <si>
    <r>
      <t>每月出具财务报表的天数
基线数据：不涉及
目标值：系统上线前每月13日前出报表，系统上线后每月7日前出财务报表
目标进度&amp;每月完成率：</t>
    </r>
    <r>
      <rPr>
        <sz val="9"/>
        <color rgb="FFFF0000"/>
        <rFont val="宋体"/>
        <charset val="134"/>
      </rPr>
      <t>达成100分，每推迟一天扣25分</t>
    </r>
  </si>
  <si>
    <t>财务总监反馈
领导核实</t>
  </si>
  <si>
    <t>系统上线前每月13日前出报表，系统上线后每月7日前出财务报表</t>
  </si>
  <si>
    <t>协调台账建立，出报表预测</t>
  </si>
  <si>
    <t>按周出收入成本预测数据</t>
  </si>
  <si>
    <t>每周出数据</t>
  </si>
  <si>
    <t>中台上线</t>
  </si>
  <si>
    <t>首次达成7天出报表（中台上线后）</t>
  </si>
  <si>
    <t>7天出报表稳定达成</t>
  </si>
  <si>
    <t>人力提效专项</t>
  </si>
  <si>
    <t>杨帆</t>
  </si>
  <si>
    <t>万元人力成本收入</t>
  </si>
  <si>
    <r>
      <t xml:space="preserve">万元人力成本收入 = 营业收入/人力资源成本
</t>
    </r>
    <r>
      <rPr>
        <sz val="9"/>
        <color rgb="FFFF0000"/>
        <rFont val="宋体"/>
        <charset val="134"/>
      </rPr>
      <t>领导比较关注，不在专项跟踪？</t>
    </r>
    <r>
      <rPr>
        <sz val="9"/>
        <color rgb="FF000000"/>
        <rFont val="宋体"/>
        <charset val="134"/>
      </rPr>
      <t xml:space="preserve">
基线数据：暂无
目标值：每1万元人力资源成本带来3万元收入
目标进度：（实际值-基线值）/(目标值-基线值)
</t>
    </r>
    <r>
      <rPr>
        <sz val="9"/>
        <color rgb="FFFF0000"/>
        <rFont val="宋体"/>
        <charset val="134"/>
      </rPr>
      <t>无月度目标值</t>
    </r>
  </si>
  <si>
    <t>人力资源成本定义
定义不明确</t>
  </si>
  <si>
    <t>高密度人才到岗、考核方案确定</t>
  </si>
  <si>
    <t>万元人力成本≥3万元收入</t>
  </si>
  <si>
    <t>人力降费专项</t>
  </si>
  <si>
    <t>人力相关费用节约</t>
  </si>
  <si>
    <r>
      <t xml:space="preserve">劳务服务费+猎头费+招聘费实际支出对比上年降低额
基线数据：0
目标值：降低46万元
</t>
    </r>
    <r>
      <rPr>
        <sz val="9"/>
        <color rgb="FFFF0000"/>
        <rFont val="宋体"/>
        <charset val="134"/>
      </rPr>
      <t>月度完成率：以里程碑活动计，完成且开始降费得100分；完成但未降费，未完成但降费得70分；未完成且未降费得40分。</t>
    </r>
    <r>
      <rPr>
        <sz val="9"/>
        <color rgb="FF000000"/>
        <rFont val="宋体"/>
        <charset val="134"/>
      </rPr>
      <t xml:space="preserve">
目标进度：实际值/基线值</t>
    </r>
  </si>
  <si>
    <t>深圳主体成立（4月30日）</t>
  </si>
  <si>
    <t>用工方式切换（5月15日），代理20人、外包14人</t>
  </si>
  <si>
    <t>累计节约46万元</t>
  </si>
  <si>
    <t>关键里程碑</t>
  </si>
  <si>
    <t>里程碑时间点</t>
  </si>
  <si>
    <t>里程碑事件</t>
  </si>
  <si>
    <t>达成情况</t>
  </si>
  <si>
    <t>达成情况说明</t>
  </si>
  <si>
    <t>SWGT MTPF平均故障间隔时间（小时）
SW50 MTPF平均故障间隔时间（小时）
Titan810 MTPF平均故障间隔时间（小时）
SWGT "1460"指标（小时）
SW50 "1460"指标（小时）
Titan810 "1460"指标（小时）</t>
  </si>
  <si>
    <t>研发分阶段提供提升专项版本</t>
  </si>
  <si>
    <t>发布一个专项版本（V1）</t>
  </si>
  <si>
    <t>研发框架重构完成 + 工单问题解决50%</t>
  </si>
  <si>
    <t>发布一个专项版本（V2）</t>
  </si>
  <si>
    <t>发布一个专项版本（V3）</t>
  </si>
  <si>
    <t>工单问题解决超过85%，MTBF和1460指标分别达成400h和2000h</t>
  </si>
  <si>
    <t>质量跟踪工单TOP问题解决</t>
  </si>
  <si>
    <t>各月跟踪jira回归和关闭的执行情况</t>
  </si>
  <si>
    <t>工程服务完成涉及现场的版本部署</t>
  </si>
  <si>
    <t>专项版本（V1）60%部署</t>
  </si>
  <si>
    <t>专项版本（V1）100%部署</t>
  </si>
  <si>
    <t>专项版本（V2）60%部署</t>
  </si>
  <si>
    <t>专项版本（V2）100%部署</t>
  </si>
  <si>
    <t>专项版本（V3）60%部署</t>
  </si>
  <si>
    <t>专项版本（V3）100%部署</t>
  </si>
  <si>
    <t>SWGT 部署时长（小时）
Titan810 部署时长（小时）</t>
  </si>
  <si>
    <t>SW GT按照MRD完成易部署功能开发</t>
  </si>
  <si>
    <t>4月15日完成第一阶段开发，4月30日上线</t>
  </si>
  <si>
    <t>6月30日完成第二阶段功能开发，7月30日上线</t>
  </si>
  <si>
    <t>预研功能（远程部署支持），9月30日上线</t>
  </si>
  <si>
    <t>Titan 810产品按照MRD完成易部署功能开发</t>
  </si>
  <si>
    <t>4月15日完成Titan 810产品易部署MRD评审</t>
  </si>
  <si>
    <t>4月30日完成易部署功能开发计划评审FAE完成培训和部署流程优化</t>
  </si>
  <si>
    <t>FAE能力建设，部署能力提升</t>
  </si>
  <si>
    <t>4月7日输出Q1部署总结</t>
  </si>
  <si>
    <t>6月30日完成FAE集中培训</t>
  </si>
  <si>
    <t>7月7日输出Q2部署总结</t>
  </si>
  <si>
    <t>基于SW GT易部署第二阶段功能上线，FAE在8月30日完成培训</t>
  </si>
  <si>
    <t>硬件部署与系统导入</t>
  </si>
  <si>
    <t>核心任务：完成服务器硬件架设，完成CRM上线、启动用友ERP财务系统部署。
验收标准：服务器集群搭建完成，用友系统基础环境就绪，流程初步确认，服务器网络与算力稳定可用，CRM正式上线使用、用友系统部署启动，核心业务流程完成梳理。</t>
  </si>
  <si>
    <t>系统联调与测试</t>
  </si>
  <si>
    <t>核心任务：MES系统上线，中台升级对接新系统，完成数据清洗。完成ERP内部方案论证、方案测试和确认、各业务静态数据准备、测试、集成开发测试以及二轮业务测试。
验收标准：MES系统接管生产订单、领料、生产全流程，生产业务由自研 MES 稳定承接，用友系统完成培训和试用，可正常操作。</t>
  </si>
  <si>
    <t>上线冲刺与试运行</t>
  </si>
  <si>
    <t>核心任务：完成用友正式环境构建、集成代码部署、各业务静态数据完善、期初数据采集及核对，打通经营全流程，上线管理看板。
验收标准：中台完成与新CRM、用友接口对接，实现数据实时传输，核心经营流程跑通，管理看板可展示关键业务数据。</t>
  </si>
  <si>
    <t>关键流程打通与看板上线</t>
  </si>
  <si>
    <t>核心任务：完成全流程闭环验证，全新数字中台正式投入使用，支撑月底结账、报表出具，确保无问题后进行项目验收。
验收标准：全新数字中台上线替换原有系统，系统运行稳定，核心经营看板可支撑决策，达成“三流合一”阶段性目标。</t>
  </si>
  <si>
    <t>完成AI基础能力搭建</t>
  </si>
  <si>
    <t>核心任务：构建统一的算力管理知识库和agent能力，为“0 号员工”智能体提供底层支撑。
验收标准：完成算力租赁、接入、调度，满足“0 号员工”模型训练与推理的资源需求，企业级核心知识完成结构化入库，基础agent框架可调用数据与知识并验证典型业务场景，形成适配“0 号员工”的开发规范与能力清单。</t>
  </si>
  <si>
    <t>“0 号员工”上线</t>
  </si>
  <si>
    <t>核心任务：对数据中台业务进行系统分析与评估，深度融入经营分析工作，基于数据洞察主动输出决策建议，形成从“分析”到“决策”再到“业务闭环”的全链路支撑。
验收标准：实现AI数字交互，完成信息流、资金流、物流的数据汇总与分析，支撑公司运营管理，为管理层提供决策依据。</t>
  </si>
  <si>
    <t>合同质量-异常率
合同质量-非正常优惠率</t>
  </si>
  <si>
    <t>筹备成长期（第二季度末）</t>
  </si>
  <si>
    <t>1.核心成果：完成签单商务流程梳理、合同变更管控标准制定、非正常优惠合同界定标准及审核流程出台，搭建商务质量监控体系，完善变更管控与优惠审批机制，实现商务质量初步提升，形成标准化管控模式。制定培训方案，框定培训内容，选定培训标杆案例。
2.目标拆解：合同异常率降至6%以内、非正常优惠合同比例降至12%以内，完成商务质量管控流程试点落地并优化。</t>
  </si>
  <si>
    <t>冲刺提升期（第3季度末）</t>
  </si>
  <si>
    <t>1.核心成果：达成全年核心目标，合同异常率、非正常优惠合同比例均达标，形成可复用的商务质量管控经验。分战区组织培训，进行培训效果评价。
2.目标拆解：合同异常率控制在5%以下、非正常优惠合同比例控制在10%以内，巩固管控效果，减少违规情况。</t>
  </si>
  <si>
    <t>闭环收尾期（第4季度末）</t>
  </si>
  <si>
    <t>1.核心成果：全年商务质量目标持续达标，优化管控流程，复盘全年工作，形成下一年度商务质量提升计划。
2.目标拆解：合同异常率稳定≤5%、非正常优惠合同比例稳定≤10%，完成全年商务质量复盘，优化管控措施。</t>
  </si>
  <si>
    <t>研发质量-SWGT测试泄漏率
研发质量-Titan810测试泄漏率</t>
  </si>
  <si>
    <t>测试泄漏率降低</t>
  </si>
  <si>
    <t>版本测试自动化：6月试点，后续例行</t>
  </si>
  <si>
    <t>开发代码静动态审查:7月纳入门禁，后续例行解决问题</t>
  </si>
  <si>
    <t>完成Q2现场问题专项排雷</t>
  </si>
  <si>
    <t>完成Q3现场问题专项排雷</t>
  </si>
  <si>
    <t>完成Q4现场问题专项排雷</t>
  </si>
  <si>
    <t>测试场景仿真和测试用例库建设：Q2确认场景范围，管理方式和管理工具，后续例行补充测试场场景库</t>
  </si>
  <si>
    <t>JIRA关闭提升</t>
  </si>
  <si>
    <t>团队及个人jira问题处理进展上大屏，实时通报：4月上线</t>
  </si>
  <si>
    <t>长期未解决（90天）jira单每周专项解决，通报：5月首次通报，后续每月例行</t>
  </si>
  <si>
    <t>jira处理进展纳入员工绩效：5月实施，后续例行</t>
  </si>
  <si>
    <t>JIRA处理流程优化，应用自动化工具提升效率：5月优化工作流</t>
  </si>
  <si>
    <t>JIRA处理流程优化，应用自动化工具提升效率：8月应用自动化工具</t>
  </si>
  <si>
    <t>体系搭建与标准夯实</t>
  </si>
  <si>
    <t>（4月-6月），确保来料检验有法可依，异常处理有章可循。核心：规范检验流程，杜绝不合格批次流入。</t>
  </si>
  <si>
    <t>深度审核与精准优化</t>
  </si>
  <si>
    <t>（7月-9月），通过深入供应商现场审核与内部检验策略优化，提升质量管控的颗粒度与应对突发异常的能力。</t>
  </si>
  <si>
    <t>优胜劣汰与全面闭环</t>
  </si>
  <si>
    <t>（10月-12月），通过淘汰机制清理质量隐患，复盘全年数据，为下一年度建立高质量的供应体系。核心：强化供应商管理，从源头规避质量风险。</t>
  </si>
  <si>
    <t>消除独家</t>
  </si>
  <si>
    <t>GT非独家供应商占比达85%，T810非独家供应商占比达65%（4~6月）</t>
  </si>
  <si>
    <t>三结合体系搭建</t>
  </si>
  <si>
    <t>三结合模块完成供应商体系搭建（4月—8月）</t>
  </si>
  <si>
    <t>生产过程质量-SWGT 开箱合格率
生产过程质量-SW50 开箱合格率
生产过程质量-Titan810 开箱合格率
生产过程质量-SWGT 90天内维修率
生产过程质量-SW50 90天内维修率
生产过程质量-Titan810 90天内维修率</t>
  </si>
  <si>
    <t>现状排查及生产过程管控</t>
  </si>
  <si>
    <t>现状排查及生产过程管控，建立包装标准化作业指导书，明确包装紧固方式（4~6月）</t>
  </si>
  <si>
    <t>检测过程优化</t>
  </si>
  <si>
    <t>检测过程优化，推行工位扫码质检机制，每个关键组装工位完成操作后扫码上传质检数据（7~8月）</t>
  </si>
  <si>
    <t>人员能力提升</t>
  </si>
  <si>
    <t>人员能力提升，实施关键工序100%防错，对核心部件安装、参数调试等工序引入防错装置自动化设备（9~10月）</t>
  </si>
  <si>
    <t>流程闭环优化</t>
  </si>
  <si>
    <t>流程闭环优化，建立下线全性能测试标准，覆盖所有功能模块，测试数据自动上传MES系统（11~12月）</t>
  </si>
  <si>
    <t>售后质量-问题一次性解决率
售后质量-平均解决时效（一线城市）（小时）
售后质量-平均解决时效（二线城市）（小时）
售后质量-平均解决时效（海外核心国家）（小时）
售后质量-平均解决时效（海外其他国家）（小时）</t>
  </si>
  <si>
    <t>服务工单系统上线，全量服务数据电子化</t>
  </si>
  <si>
    <t>全球售后备件仓搭建完毕，满足及时的配件交付</t>
  </si>
  <si>
    <t>国内：6月中心仓库准备完毕</t>
  </si>
  <si>
    <t>国内：9月前置仓准备完毕</t>
  </si>
  <si>
    <t>海外：6月欧洲、北美建立中心仓库</t>
  </si>
  <si>
    <t>海外：11月，前置仓准备完毕；</t>
  </si>
  <si>
    <t>第三方服务完善，增加服务覆盖率，确保及时响应</t>
  </si>
  <si>
    <t>9月：服务商24小时接单率95%；</t>
  </si>
  <si>
    <t>11月：第三方服务占比40%</t>
  </si>
  <si>
    <t>维修赋能，AI提效，确保客户需求不同复杂程度维修有合适能力的维修人员满足</t>
  </si>
  <si>
    <t>零号员工上线接单；通过系统拿到FAE一次解决率真实数据；</t>
  </si>
  <si>
    <t>第三方服务一次解决率90%</t>
  </si>
  <si>
    <t>服务代理商（包含销售代理商）能力建设</t>
  </si>
  <si>
    <t>完成公司外包管理标准（服务商选择，签署，培训、验收、淘汰）</t>
  </si>
  <si>
    <t>完成10次+代理商培训</t>
  </si>
  <si>
    <t>经销商收入（累计）
新增经销商数量（月新增）
经销商存销比
经销商复购率</t>
  </si>
  <si>
    <t>一级里程碑1：（第2季度末）</t>
  </si>
  <si>
    <t>核心成果：新增经销商落地合作、存销比达标、复购率稳步提升，经销商动销能力增强。
￮目标拆解：累计新增15个经销商、收入达到4600万、存销比稳定2:1、复购率达25%。</t>
  </si>
  <si>
    <t>一级里程碑2：冲刺提升期（第3季度末）</t>
  </si>
  <si>
    <t>核心成果：完成20个新增经销商目标、复购率达标，收入冲刺至全年40%。
￮目标拆解：累计新增20个经销商、收入11000万、存销比维持1.5:1、复购率达70%。</t>
  </si>
  <si>
    <t>一级里程碑3：闭环收尾期（第4季度末）</t>
  </si>
  <si>
    <t>核心成果：完成全年收入目标，经销商体系优化，形成可复用管理模式。
￮目标拆解：收入1.6亿、存销比与复购率持续达标，30个新增经销商稳定运营。</t>
  </si>
  <si>
    <t>累计收费服务经销商占比超过35%</t>
  </si>
  <si>
    <t>￮核心成果：经销商POC、开局、现场服务等收费标准确定。
￮目标拆解：服务收费目标经销商确定（不少于总经销商数量的40%），服务收费标准与竞争对手的对比。</t>
  </si>
  <si>
    <t>￮核心成果：完成国内国际所有新签经销商的服务收费合同确立，整体实现服务收费项目的经销商数量达到20%，
￮目标拆解：国际经销商收费数量达到30%个，国内数量10%、</t>
  </si>
  <si>
    <t>一级里程碑3：冲刺加速期（第4季度末）</t>
  </si>
  <si>
    <t>￮核心成果：实现国外经销商60%，国内30%比例的经销商合同服务比例
￮目标拆解：国际经销商服务收费数量达到50%，国内达到25%</t>
  </si>
  <si>
    <t>毛利率
应收周转天数</t>
  </si>
  <si>
    <t>一级里程碑1：筹备成长期（2季度末）</t>
  </si>
  <si>
    <t>核心成果：搭建毛利率与应收周转监控体系，明确核算标准，完成基准数据复盘，指标初步优化，为全年目标奠定基础。毛利率逐步提升，应收周转效率优化，形成标准化管控流程，指标接近全年目标。
￮目标拆解：毛利率≥40%、应收周转≤55天，完善管控流程，解决核心管控难点。</t>
  </si>
  <si>
    <t>￮核心成果：两大指标全部达成全年目标，形成可复用的管控模式，维持指标稳定。
￮目标拆解：毛利率≥50%（达成全年目标）、应收周转≤46天（达成全年目标），巩固管控效果。</t>
  </si>
  <si>
    <t>￮核心成果：全年毛利率、应收周转指标持续稳定达标，复盘管控经验，优化下一年度管控计划。
￮目标拆解：毛利率稳定≥60%、应收周转稳定≤40天，完成全年复盘与优化。</t>
  </si>
  <si>
    <t>到账金额300万元</t>
  </si>
  <si>
    <t>1、C17栋减免2026年房租155万元；
2、红枫科技园2026年房租减免432万元；</t>
  </si>
  <si>
    <t>150万元到账</t>
  </si>
  <si>
    <t>红枫科技园装修款500万元</t>
  </si>
  <si>
    <t>申报省级双创团队（具体申报时间以南京市人才办发布申报通知为准）</t>
  </si>
  <si>
    <t>嘉兴南湖750万到账。
80万元到账；500万元获批；</t>
  </si>
  <si>
    <t>南京500万</t>
  </si>
  <si>
    <t>嘉兴1500万</t>
  </si>
  <si>
    <t>完成嘉兴项目公司注册及人才项目申请主体公司注册；</t>
  </si>
  <si>
    <t>（1）申报创业人才项目；（2）生产性设备投资3000万元以上，设备采购合同、发票、流水一致，可申请设备投资补助300万元。（3）3000平米厂房免租六个月，节约租金约45万元。</t>
  </si>
  <si>
    <t>获批1345万元；剩余155万元根据公司研发投入情况而定。</t>
  </si>
  <si>
    <t>深圳1000万</t>
  </si>
  <si>
    <t>收集深圳市南山区、龙岗区、河套园区等地政策；</t>
  </si>
  <si>
    <t>2026年6月：评估实现路径及所需条件；注册深圳落地公司；</t>
  </si>
  <si>
    <t>2026年7月：制定达成方案</t>
  </si>
  <si>
    <t>2026年11月：满足条件后获批1000万元；</t>
  </si>
  <si>
    <t>一类物料完成度达到90%</t>
  </si>
  <si>
    <t>二类物料完成度达到75%</t>
  </si>
  <si>
    <t>三类物料完成度达到90%</t>
  </si>
  <si>
    <t>四类物料完成度达到50%</t>
  </si>
  <si>
    <t>一类物料完成度达到70%</t>
  </si>
  <si>
    <t>二类物料完成度达到60%</t>
  </si>
  <si>
    <t>三类物料完成度达到80%</t>
  </si>
  <si>
    <t>四类物料完成度达到40%</t>
  </si>
  <si>
    <t>GT BOM成本降低（元）
GT包装成本降低（元）</t>
  </si>
  <si>
    <t>四月采购降本幅度454</t>
  </si>
  <si>
    <t>五月采购降本幅度7346.56</t>
  </si>
  <si>
    <t>六月采购降本幅度1379.769</t>
  </si>
  <si>
    <t>七月到十二月，GT各版本机器发货成本降低1万元</t>
  </si>
  <si>
    <t>7月以及之后每月，单套包装成本降低30%，降低330元/套</t>
  </si>
  <si>
    <t>810 BOM成本降低（元）
810包装成本降低（元）</t>
  </si>
  <si>
    <t>四月采购降本幅度1351</t>
  </si>
  <si>
    <t>五月采购降本幅度5422</t>
  </si>
  <si>
    <t>六月采购降本幅度23921</t>
  </si>
  <si>
    <t>七月到十二月，810机器加工作站发货成本降低3万元</t>
  </si>
  <si>
    <t>7月以及之后每月，单套包装成本降低30%，降低707元/套</t>
  </si>
  <si>
    <t>生产成本占比为10%；</t>
  </si>
  <si>
    <t>生产成本占比为8%</t>
  </si>
  <si>
    <t>生产成本占比为7%；</t>
  </si>
  <si>
    <t>生产成本占比为6%；</t>
  </si>
  <si>
    <t>库存周转天数达到120天</t>
  </si>
  <si>
    <t>库存周转天数达到110天</t>
  </si>
  <si>
    <t>库存周转天数达到100天</t>
  </si>
  <si>
    <t>库存周转天数达到90天</t>
  </si>
  <si>
    <t>库存周转天数达到80天</t>
  </si>
  <si>
    <t>库存周转天数达到70天</t>
  </si>
  <si>
    <t>库存周转天数达到55天</t>
  </si>
  <si>
    <t>SWGT发货预测准确率-1周
SW50发货预测准确率-1周
Titan810发货预测准确率-1周
SWGT发货预测准确率-4周
SW50发货预测准确率-4周
Titan810发货预测准确率-4周
SWGT发货预测准确率-5周
SW50发货预测准确率-5周
Titan810发货预测准确率-5周</t>
  </si>
  <si>
    <t>1周预测准确率100% 4周准确率80% 5周准确率65%</t>
  </si>
  <si>
    <t>1周预测准确率 100% 4周准确率80% 5周准确率65%</t>
  </si>
  <si>
    <t>1周预测准确率 100% 4周准确率80% 5周准确率67%</t>
  </si>
  <si>
    <t>1周预测准确率100% 4周准确率85% 5周准确率70%</t>
  </si>
  <si>
    <t>初步制定全面预算管理规则，采购资金跟销售预测与库存周转相关联，费用支出与业绩匹配度关联规则初步拟定</t>
  </si>
  <si>
    <t>执行根据全面预算管理规则，并输出3月现金流执行报告。同时根据业务实际执行情况，评估规则的合理性，修正不完善项。</t>
  </si>
  <si>
    <t>执行根据全面预算管理规则</t>
  </si>
  <si>
    <t>执行根据全面预算管理规则并做半年复盘，并根据复盘结果及时组织半年预算复盘会，根据预测6月当月经营性净现金流应为正。</t>
  </si>
  <si>
    <t>执行根据全面预算管理规则，并根据复盘结果及时组织半年预算复盘会，</t>
  </si>
  <si>
    <t>执行根据全面预算管理规则，全年经营性净现金流为正。</t>
  </si>
  <si>
    <t>在中台上线前</t>
  </si>
  <si>
    <t>3月协调销售运营、交付、物流维护台账
3月底前出具4月预算目标</t>
  </si>
  <si>
    <t>从4月开始按照周出收入及成本财务预测数据。
4月第一周出具3月现金流总结初稿
每月18日前输出问题分析,分战区分产品核算数据</t>
  </si>
  <si>
    <t>中台上线后</t>
  </si>
  <si>
    <t>6月上线后，出具7月财务报表时达成7天出报表要求，达成时间8月。</t>
  </si>
  <si>
    <t>人力资源动态预算及触发器条件确认</t>
  </si>
  <si>
    <t>2026年度薪酬制度优化方案确定并落地（见附件）。</t>
  </si>
  <si>
    <t>2026年度绩效考核方案、专项考核方案、员工考核计划确定；</t>
  </si>
  <si>
    <t>高密度人才及时到岗。</t>
  </si>
  <si>
    <t>动态预算及周期内人力配置计划确定</t>
  </si>
  <si>
    <t>感知算法工程师、机械臂算法工程师、软件架构师等5个高密度岗位交付</t>
  </si>
  <si>
    <t>模型算法工程师、机械臂算法工程师、具身领军人才等3个高密度岗位交付</t>
  </si>
  <si>
    <t>深圳主体成立，设立社保公积金公司账号</t>
  </si>
  <si>
    <t>用工方式切换（代理20人、外包14人）</t>
  </si>
  <si>
    <t>人力资源服务商采购降本</t>
  </si>
  <si>
    <t>序号</t>
  </si>
  <si>
    <t>专项</t>
  </si>
  <si>
    <t>级别</t>
  </si>
  <si>
    <t>关键活动</t>
  </si>
  <si>
    <t>责任人</t>
  </si>
  <si>
    <t>完成时间</t>
  </si>
  <si>
    <t>对应指标</t>
  </si>
  <si>
    <t>验收标准</t>
  </si>
  <si>
    <t>一级</t>
  </si>
  <si>
    <t>MTPF、1460指标</t>
  </si>
  <si>
    <t>工单问题解决超过85%，MTBF和1460指标分别达成400h和200h</t>
  </si>
  <si>
    <t>M4发布一个专项版本</t>
  </si>
  <si>
    <t>完成M4版本工程部署：部署率60%</t>
  </si>
  <si>
    <t>完成M4版本工程部署：部署率100%</t>
  </si>
  <si>
    <t>M7发布一个专项版本</t>
  </si>
  <si>
    <t>完成M7版本工程部署：部署率60%</t>
  </si>
  <si>
    <t>完成M7版本工程部署：部署率100%</t>
  </si>
  <si>
    <t>M10发布一个专项版本</t>
  </si>
  <si>
    <t>完成M10版本工程部署：部署率60%</t>
  </si>
  <si>
    <t>完成M10版本工程部署：部署率100%</t>
  </si>
  <si>
    <t>【质量跟踪工单TOP问题解决】M3跟踪jira回归和关闭的执行情况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</si>
  <si>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【质量跟踪工单TOP问题解决】M4跟踪jira回归和关闭的执行情况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</si>
  <si>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【质量跟踪工单TOP问题解决】M5跟踪jira回归和关闭的执行情况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</si>
  <si>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【质量跟踪工单TOP问题解决】M6跟踪jira回归和关闭的执行情况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</si>
  <si>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【质量跟踪工单TOP问题解决】M7跟踪jira回归和关闭的执行情况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</si>
  <si>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【质量跟踪工单TOP问题解决】M8跟踪jira回归和关闭的执行情况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</si>
  <si>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【质量跟踪工单TOP问题解决】M9跟踪jira回归和关闭的执行情况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</si>
  <si>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【质量跟踪工单TOP问题解决】M10跟踪jira回归和关闭的执行情况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</si>
  <si>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【质量跟踪工单TOP问题解决】M11跟踪jira回归和关闭的执行情况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</si>
  <si>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【质量跟踪工单TOP问题解决】M12跟踪jira回归和关闭的执行情况
2.1 跟踪Jira工单回归执行情况 每月
2.1.1 每月3日前拉取上月“已解决”状态工单清单（每月W1）：输出待回归工单清单
2.1.2 组织测试/工程资源进行回归验证（每月W2-W3）：输出回归测试报告
2.1.3 将回归不通过的工单打回研发重新处理（每月W4）：输出退回工单记录
2.2 跟踪Jira工单关闭执行情况 每月
2.2.1 每月25日前确认已通过回归的工单是否现场已部署（每月W4）：输出待关闭工单清单
2.2.2 推动责任方完成工单关闭操作（每月W4）：输出关闭工单记录
2.2.3 输出每月工单闭环率报表（每月末）：输出闭环率报表</t>
  </si>
  <si>
    <t>二级</t>
  </si>
  <si>
    <t>1.1 重构任务中警告和错误处理框架 M6</t>
  </si>
  <si>
    <t>1.1.1 完成警告消除机制的重构 M4</t>
  </si>
  <si>
    <t>1.1.2 完成对桩状态机重构 M5</t>
  </si>
  <si>
    <t>1.1.3 完成梯控状态机重构 M5</t>
  </si>
  <si>
    <t>1.1.3 完成导航状态机重构 M6</t>
  </si>
  <si>
    <t>1.1.3 完成任务执行状态机重构 M6</t>
  </si>
  <si>
    <t>1.2 解决TOP12（工单）工程疑难问题 M12</t>
  </si>
  <si>
    <t>1.2.1 解决工单：无法获取充电点点位信息 M4</t>
  </si>
  <si>
    <t>1.2.2 解决工单：防跌落误触发 M4</t>
  </si>
  <si>
    <t>1.2.3 解决工单：导航侧倒车脱困次数过多 M5</t>
  </si>
  <si>
    <t>1.2.4 解决工单：定时任务执行失败 M6</t>
  </si>
  <si>
    <t>1.2.5 解决工单：导航判定工作站不可达+前往充电点失败 M7</t>
  </si>
  <si>
    <t>1.2.6 解决工单：梯控故障 M7</t>
  </si>
  <si>
    <t>1.2.7 解决工单：导航故障 M8</t>
  </si>
  <si>
    <t>1.2.8 解决工单：定位丢失 M8</t>
  </si>
  <si>
    <t>1.2.9 解决工单：碰撞触发后无法解除 M9</t>
  </si>
  <si>
    <t>1.2.10 解决工单：对桩超时 M9</t>
  </si>
  <si>
    <t>1.2.11 解决工单：行走电机故障 M10</t>
  </si>
  <si>
    <t>1.2.12 解决工单：吸风电机故障 M10</t>
  </si>
  <si>
    <t>2.3 TOP问题专项分析 4月
2.3.1 每月分析工单数据，输出TOP5问题及对MTPF影响（每月W1）：输出TOP问题分析报告
2.3.2 组织召开月度质量复盘会（每月W2）：输出会议纪要及改进任务</t>
  </si>
  <si>
    <t>2.3 TOP问题专项分析 5月
2.3.1 每月分析工单数据，输出TOP5问题及对MTPF影响（每月W1）：输出TOP问题分析报告
2.3.2 组织召开月度质量复盘会（每月W2）：输出会议纪要及改进任务</t>
  </si>
  <si>
    <t>2.3 TOP问题专项分析 6月
2.3.1 每月分析工单数据，输出TOP5问题及对MTPF影响（每月W1）：输出TOP问题分析报告
2.3.2 组织召开月度质量复盘会（每月W2）：输出会议纪要及改进任务</t>
  </si>
  <si>
    <t>2.3 TOP问题专项分析 7月
2.3.1 每月分析工单数据，输出TOP5问题及对MTPF影响（每月W1）：输出TOP问题分析报告
2.3.2 组织召开月度质量复盘会（每月W2）：输出会议纪要及改进任务</t>
  </si>
  <si>
    <t>2.3 TOP问题专项分析 8月
2.3.1 每月分析工单数据，输出TOP5问题及对MTPF影响（每月W1）：输出TOP问题分析报告
2.3.2 组织召开月度质量复盘会（每月W2）：输出会议纪要及改进任务</t>
  </si>
  <si>
    <t>2.3 TOP问题专项分析 9月
2.3.1 每月分析工单数据，输出TOP5问题及对MTPF影响（每月W1）：输出TOP问题分析报告
2.3.2 组织召开月度质量复盘会（每月W2）：输出会议纪要及改进任务</t>
  </si>
  <si>
    <t>2.3 TOP问题专项分析 10月
2.3.1 每月分析工单数据，输出TOP5问题及对MTPF影响（每月W1）：输出TOP问题分析报告
2.3.2 组织召开月度质量复盘会（每月W2）：输出会议纪要及改进任务</t>
  </si>
  <si>
    <t>2.3 TOP问题专项分析11月
2.3.1 每月分析工单数据，输出TOP5问题及对MTPF影响（每月W1）：输出TOP问题分析报告
2.3.2 组织召开月度质量复盘会（每月W2）：输出会议纪要及改进任务</t>
  </si>
  <si>
    <t>2.3 TOP问题专项分析 12月
2.3.1 每月分析工单数据，输出TOP5问题及对MTPF影响（每月W1）：输出TOP问题分析报告
2.3.2 组织召开月度质量复盘会（每月W2）：输出会议纪要及改进任务</t>
  </si>
  <si>
    <t>“8H”部署专项</t>
  </si>
  <si>
    <t>SW GT按照MRD完成易部署功能开发， 4月15日完成第一阶段开发</t>
  </si>
  <si>
    <t>SW GT 部署时长</t>
  </si>
  <si>
    <t>SW GT按照MRD完成易部署功能开发， 4月30日完成第一阶段上线</t>
  </si>
  <si>
    <t>SW GT按照MRD完成易部署功能开发，6月30日完成第二阶段功能开发</t>
  </si>
  <si>
    <t>6月30日</t>
  </si>
  <si>
    <t>SW GT按照MRD完成易部署功能开发，7月30日上线第二阶段功能</t>
  </si>
  <si>
    <t>SW GT按照MRD完成易部署功能开发，预研功能 ，9月30日上线；</t>
  </si>
  <si>
    <t>9月30日</t>
  </si>
  <si>
    <t>Titan 810产品按照MRD完成易部署功能开发：4月15日完成Titan 810产品易部署MRD评审</t>
  </si>
  <si>
    <t>4月15日</t>
  </si>
  <si>
    <t>Titan 810 部署时长</t>
  </si>
  <si>
    <t>Titan 810产品按照MRD完成易部署功能开发：4月30日完成易部署功能开发计划评审</t>
  </si>
  <si>
    <t>4月30日</t>
  </si>
  <si>
    <t>FAE部署能力提升： 4月7日输出Q1部署总结</t>
  </si>
  <si>
    <t>4月7日</t>
  </si>
  <si>
    <t>SW GT 部署时长、Titan 810 部署时长</t>
  </si>
  <si>
    <t>基于Titan易部署功能第一阶段功能上线，FAE在4月30日完成培训和部署流程优化；</t>
  </si>
  <si>
    <t>FAE部署能力提升：6月31日完成FAE集中培训</t>
  </si>
  <si>
    <t>FAE部署能力提升：7月7日输出Q2部署总结</t>
  </si>
  <si>
    <t>7月7日</t>
  </si>
  <si>
    <t>8月30日</t>
  </si>
  <si>
    <t>3月31日服务侧梳理Q1部署期间物料更换/漏发</t>
  </si>
  <si>
    <t>服务侧梳理交付流程进行优化</t>
  </si>
  <si>
    <t>无计划</t>
  </si>
  <si>
    <t>Q2每月组织FAE部署经验分享和复盘-4月</t>
  </si>
  <si>
    <t>Q2每月组织FAE部署经验分享和复盘-5月</t>
  </si>
  <si>
    <t>Q2每月组织FAE部署经验分享和复盘-6月</t>
  </si>
  <si>
    <t>FAE季度培训，认证和能力验收-Q2</t>
  </si>
  <si>
    <t>FAE季度培训，认证和能力验收-Q3</t>
  </si>
  <si>
    <t>FAE季度培训，认证和能力验收-Q4</t>
  </si>
  <si>
    <t>硬件部署与系统导入：完成服务器硬件架设，完成CRM上线、启动用友ERP财务系统部署。</t>
  </si>
  <si>
    <t>服务器集群搭建完成，用友系统基础环境就绪，流程初步确认，服务器网络与算力稳定可用，CRM正式上线使用、用友系统部署启动，核心业务流程完成梳理。</t>
  </si>
  <si>
    <t>系统联调与测试：MES系统上线，中台升级对接新系统，完成数据清洗。完成ERP内部方案论证、方案测试和确认、各业务静态数据准备、测试、集成开发测试以及二轮业务测试。</t>
  </si>
  <si>
    <t>MES系统接管生产订单、领料、生产全流程，生产业务由自研 MES 稳定承接，用友系统完成培训和试用，可正常操作。</t>
  </si>
  <si>
    <t>上线冲刺与试运行：完成用友正式环境构建、集成代码部署、各业务静态数据完善、期初数据采集及核对，打通经营全流程，上线管理看板。</t>
  </si>
  <si>
    <t>中台完成与新CRM、用友接口对接，实现数据实时传输，核心经营流程跑通，管理看板可展示关键业务数据。</t>
  </si>
  <si>
    <t>关键流程打通与看板上线：完成全流程闭环验证，全新数字中台正式投入使用，支撑月底结账、报表出具并，确保无问题后进行项目验收。</t>
  </si>
  <si>
    <t>全新数字中台上线替换原有系统，系统运行稳定，核心经营看板可支撑决策，达成“三流合一”阶段性目标。</t>
  </si>
  <si>
    <t>完成AI基础能力搭建：构建统一的算力管理知识库和agent能力，为“0 号员工”智能体提供底层支撑</t>
  </si>
  <si>
    <t>完成算力租赁、接入、调度，满足“0 号员工”模型训练与推理的资源需求，企业级核心知识完成结构化入库，基础agent框架可调用数据与知识并验证典型业务场景，形成适配“0 号员工”的开发规范与能力清单。</t>
  </si>
  <si>
    <t>“0 号员工”上线：对数据中台业务进行系统分析与评估，深度融入经营分析工作，基于数据洞察主动输出决策建议，形成从“分析”到“决策”再到“业务闭环”的全链路支撑。</t>
  </si>
  <si>
    <t>实现AI数字交互，完成信息流、资金流、物流的数据汇总与分析，支撑公司运营管理，为管理层提供决策依据。</t>
  </si>
  <si>
    <t>一级里程碑1：筹备成长期
1.核心成果：完成签单商务流程梳理、合同变更管控标准制定、非正常优惠合同界定标准及审核流程出台，搭建商务质量监控体系，完善变更管控与优惠审批机制，实现商务质量初步提升，形成标准化管控模式。制定培训方案，框定培训内容，选定培训标杆案例。
2.目标拆解：合同异常率降至6%以内、非正常优惠合同比例降至12%以内，完成商务质量管控流程试点落地并优化。</t>
  </si>
  <si>
    <t>合同质量-异常率、合同质量-非正常优惠率</t>
  </si>
  <si>
    <t>一级里程碑2：冲刺提升期（第3季度末）
1.核心成果：达成全年核心目标，合同异常率、非正常优惠合同比例均达标，形成可复用的商务质量管控经验。分战区组织培训，进行培训效果评价。
2.目标拆解：合同异常率控制在5%以下、非正常优惠合同比例控制在10%以内，巩固管控效果，减少违规情况。</t>
  </si>
  <si>
    <t>一级里程碑3：闭环收尾期（第4季度末）
1.核心成果：全年商务质量目标持续达标，优化管控流程，复盘全年工作，形成下一年度商务质量提升计划。
2.目标拆解：合同异常率稳定≤5%、非正常优惠合同比例稳定≤10%，完成全年商务质量复盘，优化管控措施。</t>
  </si>
  <si>
    <t>二级里程碑2.1（第4个月末）：优化合同审核流程，新增合同变更前置审核环节，确保合同变更率降至7%以内、非正常优惠比例降至14%以内。完成销售人员销售纪律培训。</t>
  </si>
  <si>
    <t>二级里程碑2.2（第5个月末）：完善非正常优惠合同审批流程（需多级审核），推进管控措施落地，确保合同变更率降至6.5%以内、优惠比例降至13%以内。</t>
  </si>
  <si>
    <t>二级里程碑2.3（第6个月末）：总结选取典型优质案例和负面案例对全体销售进行定期培训，制定培训方案，框定培训内容，选定培训标杆案例，对于异常较多的区域进行通报处罚。复盘上半年管控效果，优化管控措施，达成季度目标（变更率≤6%、优惠比例≤12%），提交半年度进度报告。</t>
  </si>
  <si>
    <t>二级里程碑2.1（第7个月末）：强化合同变更前置管控，严控非正常优惠审批，确保合同变更率降至5.5%以内、优惠比例降至11%以内。</t>
  </si>
  <si>
    <t>二级里程碑2.2（第8个月末）：分战区组织培训，进行培训效果评价。冲刺核心目标，优化管控细节，确保合同变更率≤5%、非正常优惠合同比例≤10%，达成全年目标。</t>
  </si>
  <si>
    <t>二级里程碑2.3（第9个月末）：巩固管控效果，确保两大指标持续达标，复盘管控漏洞，优化措施，提交三季度进度报告。</t>
  </si>
  <si>
    <t>二级里程碑3.1（第10个月末）：监控指标稳定性，确保合同变更率、非正常优惠比例持续达标，排查管控漏洞。</t>
  </si>
  <si>
    <t>二级里程碑3.2（第11个月末）：优化管控流程，解决管控中的难点问题，确保指标无反弹。</t>
  </si>
  <si>
    <t>二级里程碑3.3（第12个月末）：复盘全年商务质量管控工作，总结经验不足，优化下一年度提升计划，提交全年总结报告。</t>
  </si>
  <si>
    <t>1.梳理核心业务场景，确定自动化测试范围，选型并确认自动化框架（如Pytest、RobotFramework、Jenkins集成）</t>
  </si>
  <si>
    <t>研发质量-测试泄漏率</t>
  </si>
  <si>
    <t>2.选定静态扫描工具（如SonarQube、Checkstyle）并完成部署</t>
  </si>
  <si>
    <t>3.收集现场Top问题（按频次和影响面排序），建立排雷专项清单，明确责任分配</t>
  </si>
  <si>
    <t>4.确定测试场景和测试用例库运作方式及工具选型</t>
  </si>
  <si>
    <t>5.搭建自动化测试环境，跑通流程，并将自动化任务接入CI流水线（如GitLab CI/Jenkins）</t>
  </si>
  <si>
    <t>6.在1-2个核心服务中试点接入静态扫描</t>
  </si>
  <si>
    <t>7.一轮排雷落地</t>
  </si>
  <si>
    <t>8.建立每日扫描与问题责任人认领机制，确保修复SLA</t>
  </si>
  <si>
    <t>9.一轮排雷总结和二轮排雷计划</t>
  </si>
  <si>
    <t>10.自动化测试试点</t>
  </si>
  <si>
    <t>11.测试场景和测试用例库管理工具或平台就位</t>
  </si>
  <si>
    <t>12.将静态与动态审查结果纳入Merge Request门禁（未通过不得合入），统计拦截率</t>
  </si>
  <si>
    <t>13.二轮排雷计划</t>
  </si>
  <si>
    <t>14.技术债务清理计划制定，设定每月清理目标</t>
  </si>
  <si>
    <t>15.二轮排雷落地</t>
  </si>
  <si>
    <t>16.建立自动化测试问题提报和解决策略</t>
  </si>
  <si>
    <t>17.技术债务清理</t>
  </si>
  <si>
    <t>18.三轮排雷计划计划和落地</t>
  </si>
  <si>
    <t>19.自动化测试问题闭环</t>
  </si>
  <si>
    <t>20.测试用例库补全，覆盖核心测试场景</t>
  </si>
  <si>
    <t>团队及个人jira问题处理进展上大屏 4月</t>
  </si>
  <si>
    <t>jira处理进展对应员工绩效行权方案 4月</t>
  </si>
  <si>
    <t>JIRA处理工作流优化，提升问题流转效率 5月</t>
  </si>
  <si>
    <t>建立问题解决进展晾晒机制 5月</t>
  </si>
  <si>
    <t>开展全员Jira使用规范培训，强调及时更新状态，减少因操作不当导致的逾期误判 5月</t>
  </si>
  <si>
    <t>每月通报长期未解决问题处理进展 6~8月</t>
  </si>
  <si>
    <t>专人跟踪超90天未解决问题进展 6~8月</t>
  </si>
  <si>
    <t>探索自动化工具，缩短问题闭环周期，如自动关单，与钉钉联动，关键指标异常或逾期单增加时自动推送告警消息等 6~8月</t>
  </si>
  <si>
    <t>探索敏捷版本运作，缩短版本发布周期，问题快速闭环 9~12月</t>
  </si>
  <si>
    <t>问题月结专项组运作，每周拉会一对一推进问题闭环 9~12月</t>
  </si>
  <si>
    <t>1.1完成现有供应商资质复核，签订质量责任承诺书；4月</t>
  </si>
  <si>
    <t>1.2开展首次供应商季度考核，筛选优质供应商 5月</t>
  </si>
  <si>
    <t>1.3针对考核不合格供应商，下达整改通知并跟踪落实.6月</t>
  </si>
  <si>
    <t>1.4 对核心物料供应商开展首次现场审核 7月</t>
  </si>
  <si>
    <t>1.5 复核不合格供应商整改效果，不合格者暂停合作 8月</t>
  </si>
  <si>
    <t>1.6 开展第二次供应商季度考核，优化供应商体系 9月</t>
  </si>
  <si>
    <t>1.7 对现场审核不合格供应商，终止合作并补充优质供应商 10月</t>
  </si>
  <si>
    <t>1.8 供应商管控：开展核心供应商二次现场审核，巩固质量管控 11月</t>
  </si>
  <si>
    <t>1.9 汇总全年供应商考核结果，确定下一年度合作名单 12月</t>
  </si>
  <si>
    <t>2.1 制定详细来料检验标准，组织检验人员专项培训；4月</t>
  </si>
  <si>
    <t>2.2 执行双人检验制度，重点核查核心物料检验记录 5月</t>
  </si>
  <si>
    <t>2.3 开展检验流程自查，整改漏检、误检隐患 6月</t>
  </si>
  <si>
    <t>2.4 优化检验抽样比例，提升检验精准度 7月</t>
  </si>
  <si>
    <t>2.5 开展检验记录专项核查，确保记录完整规范 8月</t>
  </si>
  <si>
    <t>2.6 针对高频检验物料，制定专项检验方案 9月</t>
  </si>
  <si>
    <t>2.7 开展检验能力考核，提升检验人员专业水平 10月</t>
  </si>
  <si>
    <t>2.8 复盘前期检验异常情况，优化检验标准 11月</t>
  </si>
  <si>
    <t>2.9 全面复盘全年检验工作，总结经验优化流程 12月</t>
  </si>
  <si>
    <t>3.1 建立来料检验异常台账，明确不合格处置流程。4月</t>
  </si>
  <si>
    <t>3.2 完善采购合同质量条款，明确批次要求 5月</t>
  </si>
  <si>
    <t>3.3 追溯管控：建立采购质量追溯体系，实现来料全程可追溯 6月</t>
  </si>
  <si>
    <t>3.4 组织采购、检验人员质量专项复训 7月</t>
  </si>
  <si>
    <t>3.5 召开月度质量例会，通报问题并优化措施 8月</t>
  </si>
  <si>
    <t>3.6.应急管控：完善不合格批次应急处置流程，提升处置效率 9月</t>
  </si>
  <si>
    <t>3.7 流程管控：梳理采购全流程，排查质量风险点 10月</t>
  </si>
  <si>
    <t>3.8 追溯管控：完善追溯体系，确保问题可快速定位 11月</t>
  </si>
  <si>
    <t>3.9 整体复盘：汇总9个月质量情况，评估措施有效性 12月</t>
  </si>
  <si>
    <t>4.1 一类物料完成率GT达90%，T810达70% 6月</t>
  </si>
  <si>
    <t>4.2 二类物料完成率GT达75%，T810达60% 6月</t>
  </si>
  <si>
    <t>4.3 三类物料完成率GT达90%，T810达80% 6月</t>
  </si>
  <si>
    <t>4.4 四类物料完成率GT达50%，T810达40% 6月</t>
  </si>
  <si>
    <t>5.1 制定 《2026年供应商质量筛选评分体系》 ，按“技术匹配度30%+质量管控能力30%+生产能力20%+商务条件10%+响应能力10%”打分 4-6月</t>
  </si>
  <si>
    <t xml:space="preserve">5.2 数字化平台搭建，明确从研发定标、供应商筛选、样品打样、量产管控到来料验收、质量整改的 每一步动作要求、质量管控要点、交付物、时间节点 7-8月 </t>
  </si>
  <si>
    <t>1.现状排查，摸清包装环节的质量底数，搭建标准化作业指导书的框架。全面排查当前包装流程中存在的松动、破损等隐患。4月</t>
  </si>
  <si>
    <t>生产过程质量-开箱合格率、生产过程质量-90天内维修率</t>
  </si>
  <si>
    <t>2.调取过去一年的维修数据与客诉记录，重点分析导致90天内维修的Top 3根本原因。4月</t>
  </si>
  <si>
    <t>3.标准细化与紧固方式明确；收集一线操作人员的反馈意见，对标准内容进行初步优化，确保标准具备可操作性。5月</t>
  </si>
  <si>
    <t>4.明确投料检验标准、增加抽检频次； 修订操作手册，组织全员培训考核；梳理生产环节薄弱点并标注；结合典型案例开展质量意识培训，强化责任意识 5月</t>
  </si>
  <si>
    <t>5.关键工序安排专人值守，做好过程记录；增加半成品抽检点位、扩大抽检范围； 针对薄弱环节制定专项管控方案；分岗位开展操作技能考核， 建立员工技能档案 6月</t>
  </si>
  <si>
    <t>6.备件前置与物流响应提速：基于历史维修数据，重新规划中心仓的备件库存模型。将高频易损件（如边刷、滤网、主板）下沉至区域服务网点，确保江浙沪地区常用备件在24小时内可达，缩短“等待配件”造成的维修延时。6月</t>
  </si>
  <si>
    <t>7.核心部件建立严苛的可靠性测试标准。在研发阶段引入高加速寿命测试，模拟极端运输震动与高频使用场景，提前暴露设计薄弱环节。7月</t>
  </si>
  <si>
    <t>8.标准落地与生产过程管控强化，在生产过程中严格执行标准化作业，建立日常抽查机制。同步完善生产过程管控台账，记录生产过程中的质量数据。8月</t>
  </si>
  <si>
    <t>9.可维护性与防呆设计优化：优化产品的结构设计，提升售后维修的便捷性（如减少拆解螺丝数量、采用模块化设计）。9月</t>
  </si>
  <si>
    <t>10.防错装置需求梳理与方案设计：针对核心部件安装、参数调试等关键工序，全面梳理防错需求，明确防错装置的功能要求和技术参数。 10月</t>
  </si>
  <si>
    <t>11.防错装置安装与调试运行：完成防错装置的采购和安装工作，组织技术人员开展装置调试，确保装置与生产线的无缝衔接。对关键工序操作人员进行防错装置操作培训，使其熟练掌握装置的使用方法和异常处理流程。11月</t>
  </si>
  <si>
    <t>12.全性能测试标准制定与系统对接：结合产品功能模块特点，制定下线全性能测试标准，明确各功能模块的测试项目、测试方法和合格判定依据。11月</t>
  </si>
  <si>
    <t>13.全性能测试全面落地与闭环优化：全面推行下线全性能测试标准，要求所有产品下线前必须完成全性能测试，测试数据实时上传MES系统，形成完整的质量追溯档案。12月</t>
  </si>
  <si>
    <t>1、服务系统开发，上线，优化；</t>
  </si>
  <si>
    <t>售后质量-问题一次性解决率、售后质量-平均解决时效（一线城市）、售后质量-平均解决时效（二线城市）、售后质量-平均解决时效（海外核心国家）、售后质量-平均解决时效（海外其他国家）</t>
  </si>
  <si>
    <t>6月：系统搭建完成，数据全部从服务CRM体现；</t>
  </si>
  <si>
    <t>9月：系统满足对于配件预测，按技能派工的要求；</t>
  </si>
  <si>
    <t>2、售后配件仓库搭建</t>
  </si>
  <si>
    <t>6月：通过国内中心配件仓库完成预测，备货，实时发货，能够满足江浙沪皖包邮区的全部配件覆盖；</t>
  </si>
  <si>
    <t>9月：欧洲、美国中心仓库，核心代理商仓库完成A类配件备货。国内代理商、FAE作为前置仓，完成A类配件备货；</t>
  </si>
  <si>
    <t>11月：海外前置仓物料完备，人员、配件同步到维修现场场；国内前置仓B类配件能够在24小时获取。</t>
  </si>
  <si>
    <t>3、第三方服务（代理+服务商）覆盖率提升</t>
  </si>
  <si>
    <t>6月：明确代理商自保服务的相关商务谈判明确；专业服务商派单成功率80%；</t>
  </si>
  <si>
    <t>9月：服务商派单成功率95%，第三方服务（代理自保+专业服务商）服务占比30%；</t>
  </si>
  <si>
    <t>11月：服务商派单成功率100%，第三方服务（代理自保+专业服务商）服务占比50%</t>
  </si>
  <si>
    <t>4、人员赋能+AI提效</t>
  </si>
  <si>
    <t>6月：零号员工开发完毕，接入一线问题解决；FAE能力摸底+培训计划定义完毕，代理商技术第一轮赋能工作；</t>
  </si>
  <si>
    <t>9月：零号员工覆盖10%的一线问题解决；重点代理商一次解决率90%；</t>
  </si>
  <si>
    <t>11月：零号员工覆盖20%的一线问题解决；代理商服务一次解决率95%；</t>
  </si>
  <si>
    <t>5、服务代理商（包含销售代理商）能力建设</t>
  </si>
  <si>
    <t>3月完成公司服务代理商协议（标准）中文版本发布（法务评审）；</t>
  </si>
  <si>
    <t>4月完成公司服务代理商协议（标准）英文版本发布（法务评审）</t>
  </si>
  <si>
    <t>6月之前国内签署至少2家服务代理商；6月完成新签署代理商至少1次培训（项目现场实操）；</t>
  </si>
  <si>
    <t>7月31日协同市场完成对销售代理商培训次；</t>
  </si>
  <si>
    <t>10月完成对海外+国内服务代理商做复盘</t>
  </si>
  <si>
    <t>5-12月代理商持续培训</t>
  </si>
  <si>
    <t>12月完成代理商建设标准文档</t>
  </si>
  <si>
    <t>渠道管理有效性提升</t>
  </si>
  <si>
    <t>•二级里程碑1.1（第4个月末）：推进新增经销商招募，完成9个新增经销商筛选与洽谈，确定合作意向；监控现有经销商库存，协助薄弱经销商消化库存，将存销比逐步优化至2:1以内；推进老经销商复购，复购率达15%。</t>
  </si>
  <si>
    <t>经销商收入（累计）、新增经销商数量（月新增）、经销商存销比、经销商复购率</t>
  </si>
  <si>
    <t>•二级里程碑1.2（第5个月末）：完成9个新增经销商签约合作，启动市场布局与备货；开展经销商赋能培训（产品知识、销售技巧、库存管理），提升经销商动销能力；经销商收入累计达成2800万；存销比优化至2:1达标。</t>
  </si>
  <si>
    <t>•二级里程碑1.3（第6个月末）：复盘上半年经销商任务完成情况，优化激励政策与招商策略；累计达成经销商收入4600万；复购率提升至25%；完成新增经销商15个的合作落地，协助其实现初步动销；提交半年度进度报告。</t>
  </si>
  <si>
    <t>•二级里程碑2.1（第7个月末）：启动剩余新增经销商招募，完成10个新增经销商筛选与洽谈，签约合作；监控存销比，确保稳定在1.5:1；推进老经销商复购，复购率达68%；经销商收入累计达成6000万。</t>
  </si>
  <si>
    <t>•二级里程碑2.2（第8个月末）：协助新增经销商完成备货、市场启动与动销，确保累计新增经销商25个；开展经销商促销活动，拉动销量提升；存销比维持1.5:1；复购率提升至70%（达成全年目标）；经销商收入累计达成8000万。</t>
  </si>
  <si>
    <t>•二级里程碑2.3（第9个月末）：复盘三季度任务完成情况，针对存销比、复购率、收入达成情况优化管理策略；累计完成20个新增经销商目标；累计经销商收入达成9000万；复购率达到60%；提交三季度进度报告，制定四季度冲刺计划。</t>
  </si>
  <si>
    <t>•二级里程碑3.1（第10个月末）：开展四季度经销商冲刺活动，拉动销量提升；监控存销比与复购率，确保稳定达标；经销商收入累计达成1.2亿；梳理经销商运营问题，及时优化解决。</t>
  </si>
  <si>
    <t>•二级里程碑3.2（第11个月末）：巩固经销商合作，推进老经销商复购，确保复购率≥70%；协助经销商消化年底库存，维持存销比1.5:1；经销商收入累计达成1.4万（全年目标的95%）。</t>
  </si>
  <si>
    <t>•二级里程碑3.3（第12个月末）：完成全年经销商收入1.6亿目标；30个新增经销商稳定运营、实现盈利；存销比稳定在1.5:1、复购率≥70%；复盘全年任务完成情况，总结经验与不足，优化下一年度经销商管理计划，提交全年总结报告。</t>
  </si>
  <si>
    <t>Marketing整体能力提升</t>
  </si>
  <si>
    <t>•二级里程碑1.1（第1个月中旬）：明确毛利率核算标准（含成本归集、定价管控）、应收周转核算标准，完成上一年度及当前基准数据复盘，梳理指标差距与核心管控难点。</t>
  </si>
  <si>
    <t>毛利率、应收周转天数</t>
  </si>
  <si>
    <t>•二级里程碑1.2：搭建毛利率与应收周转动态监控体系，明确监控频率（每周统计、每月复盘），指定专人负责数据统计与分析，形成初步监控报表。</t>
  </si>
  <si>
    <t>•二级里程碑1.3（第4个月末）：优化毛利率管控措施（如优化产品成本结构、规范定价策略），推进应收回款激励政策落地，监控指标变化，确保毛利率≥35%、应收周转≤60天。</t>
  </si>
  <si>
    <t>•二级里程碑1.4（第5个月末）：深化管控措施，解决试点中发现的问题，扩大管控范围，确保毛利率≥37%、应收周转≤56天，形成标准化管控流程文档。</t>
  </si>
  <si>
    <t>•二级里程碑1.5（第6个月末）：达成二季度指标目标（毛利率≥40%、应收周转≤55天），复盘上半年管控效果，优化管控策略，提交半年度进度报告。</t>
  </si>
  <si>
    <t>•二级里程碑2.1（第7个月末）：强化毛利率管控，严控成本支出、规范定价，推进应收回款提速，确保毛利率≥59.5%、应收周转≤41天。</t>
  </si>
  <si>
    <t>•二级里程碑2.2（第8个月末）：冲刺全年指标，优化回款流程，严控无效成本，确保毛利率≥60%、应收周转≤40天，达成全年目标，维持指标稳定。</t>
  </si>
  <si>
    <t>•二级里程碑2.3（第9个月末）：巩固管控效果，确保毛利率、应收周转持续达标，复盘三季度管控经验，制定四季度维稳计划，提交三季度进度报告。</t>
  </si>
  <si>
    <t>•二级里程碑3.1（第10个月末）：维持两大指标稳定（毛利率≥52%、应收周转≤45天），监控异常波动，及时调整管控措施，确保无反弹。</t>
  </si>
  <si>
    <t>•二级里程碑3.2（第11个月末）：排查管控漏洞，优化成本管控与回款流程，进一步巩固指标稳定性，确保全年指标不出现偏差。</t>
  </si>
  <si>
    <t>•二级里程碑3.3（第12个月末）：完成全年指标闭环，确保毛利率稳定≥60%、应收周转稳定≤40天，复盘全年管控工作，总结经验不足，优化下一年度管控计划，提交全年总结报告。</t>
  </si>
  <si>
    <t>政府资金</t>
  </si>
  <si>
    <t>政府资金到账额</t>
  </si>
  <si>
    <t>C17栋减免2026年房租155万元；</t>
  </si>
  <si>
    <t>红枫科技园2026年房租减免432万元；</t>
  </si>
  <si>
    <t>150万元到账；</t>
  </si>
  <si>
    <t>红枫科技园装修款500万元；</t>
  </si>
  <si>
    <t>何波、方哲</t>
  </si>
  <si>
    <t>申报省级双创团队（具体申报时间以南京市人才办发布申报通知为准） ；</t>
  </si>
  <si>
    <t>李仁君、陈晨光、张卓</t>
  </si>
  <si>
    <t>嘉兴南湖750万到账。</t>
  </si>
  <si>
    <t>80万元到账；500万元获批；</t>
  </si>
  <si>
    <t>新增政府资金获批</t>
  </si>
  <si>
    <t>2026年5月：完成嘉兴项目公司注册及人才项目申请主体公司注册；</t>
  </si>
  <si>
    <t>邱未召、杨帆、孙林海</t>
  </si>
  <si>
    <t>2026年7月： 申报创业人才项目； 生产性设备投资3000万元以上，设备采购合同、发票、流水一致，可申请设备投资补助300万元。 3000平米厂房免租六个月，节约租金约45万元。</t>
  </si>
  <si>
    <t>邱未召、方哲、杨帆、孙林海</t>
  </si>
  <si>
    <t>2026年11月：获批1345万元；剩余155万元根据公司研发投入情况而定。</t>
  </si>
  <si>
    <t>邱未召、石峰、孙林海</t>
  </si>
  <si>
    <t>2026年4月：收集深圳市南山区、龙岗区、河套园区等地政策；</t>
  </si>
  <si>
    <t>孙林海</t>
  </si>
  <si>
    <t>2026年7月：制定达成方案；</t>
  </si>
  <si>
    <t>1.一类物料完成度达到90%；</t>
  </si>
  <si>
    <t>1.1一类物料寻源选型完成达到100%；（4月底）</t>
  </si>
  <si>
    <t>1.2一类物料零部件测试完成达到100%；（5月底）</t>
  </si>
  <si>
    <t>1.3一类物料整机适配整机测试完成达到100%；（6月中旬）</t>
  </si>
  <si>
    <t>1.4一类物料BOM导入完成达到90%；（6月底）</t>
  </si>
  <si>
    <t>2.二类物料完成度达到75%；</t>
  </si>
  <si>
    <t>2.1二类物料寻源选型完成达到90%；（5月上旬）</t>
  </si>
  <si>
    <t>2.2二类物料核心零部件测试完成达到100%；（5月底）</t>
  </si>
  <si>
    <t>2.3二类物料整机适配整机测试完成达到80%；（6月底）</t>
  </si>
  <si>
    <t>2.4二类物料BOM导入完成达到75%；（6月底）</t>
  </si>
  <si>
    <t>3.三类物料完成度达到90%；</t>
  </si>
  <si>
    <t>3.1完成加工件（钣金，焊接，机加）招标采购工作：（5月底）</t>
  </si>
  <si>
    <t>3.2完成塑料件橡胶件招标采购工作：（6月底）</t>
  </si>
  <si>
    <t>3.3完成PCB/线束招标采购工作：（6月底）</t>
  </si>
  <si>
    <t>4.四类物料完成度达到50%；</t>
  </si>
  <si>
    <t>4.1统一标准件的使用，实现标准件共用；（6月底）</t>
  </si>
  <si>
    <t>1.一类物料完成度达到70%；</t>
  </si>
  <si>
    <t>1.2一类物料零部件测试完成达到80%；（5月底）</t>
  </si>
  <si>
    <t>1.3一类物料整机适配整机测试完成达到80%；（6月底）</t>
  </si>
  <si>
    <t>1.4一类物料BOM导入完成达到70%；（6月底）</t>
  </si>
  <si>
    <t>2.二类物料完成度达到60%；</t>
  </si>
  <si>
    <t>2.1二类物料寻源选型完成达到80%；（5月上旬）</t>
  </si>
  <si>
    <t>2.3二类物料整机适配整机测试完成达到70%；（6月底）</t>
  </si>
  <si>
    <t>2.4二类物料BOM导入完成达到60%；（6月底）</t>
  </si>
  <si>
    <t>3.三类物料完成度达到80%；</t>
  </si>
  <si>
    <t>3.2完成塑料件橡胶件招标采购工作：（7月底）</t>
  </si>
  <si>
    <t>4.四类物料完成度达到40%；</t>
  </si>
  <si>
    <t>1、核心物料寻源，根据寻源状况安排零部件测试和供应商考核，满足非独家</t>
  </si>
  <si>
    <t>GT BOM成本降低</t>
  </si>
  <si>
    <t>2、与供应商进行价格谈判，满足招标条件的进行招标</t>
  </si>
  <si>
    <t>3、结构件开模，四月份开始，六月底完成</t>
  </si>
  <si>
    <t>4、安卓屏幕新方案测试导入，四月份研发定型，五月份完成测试，六月份导入</t>
  </si>
  <si>
    <t>5、PCBA国产器件替换，打样测试并导入，六月份完成</t>
  </si>
  <si>
    <t>6、七月到十二月，由财务统计GT各版本机器发货成本</t>
  </si>
  <si>
    <t>1、包装厂寻源，要求在南京附近，价格有优势，质量可靠</t>
  </si>
  <si>
    <t>GT包装成本降低</t>
  </si>
  <si>
    <t>2、按照年发货量招标</t>
  </si>
  <si>
    <t>810 BOM成本降低</t>
  </si>
  <si>
    <t>3、结构件开模，四月份开始，六月完成</t>
  </si>
  <si>
    <t>4、新工控机测试导入，六月完成</t>
  </si>
  <si>
    <t>6、集成线束改为自制，四月份开始尝试自制，五月份导入</t>
  </si>
  <si>
    <t>7、七月到十二月，由财务统计GT各版本机器发货成本</t>
  </si>
  <si>
    <t>810包装成本降低</t>
  </si>
  <si>
    <t>生产降本专项</t>
  </si>
  <si>
    <t>目标1：生产成本占比8%（6月30日）</t>
  </si>
  <si>
    <t>3月31日</t>
  </si>
  <si>
    <t>1.1:生产部、仓储物流部、计划部、采购部、质量部联合IT部门完善MES系统，实现从采购订单、物料入库、生产领料、生产过程、成品入库到售后出库的全流程数据采集；五月实现MES系统开始使用（4月30日）</t>
  </si>
  <si>
    <t>1.2:采购部、三结合部、质量部保障到料质量，生产线退料率低于5%（5月31日）</t>
  </si>
  <si>
    <t>1.3:质检部：IQC关键物料全检，合格贴追溯码方可入库（5月31日）</t>
  </si>
  <si>
    <t>1.4:研发部：稳定机器性能（软件和硬件），减少泄漏到生产线的问题（5月31日）</t>
  </si>
  <si>
    <t>1.5:售后部：建立售后仓、提交售后预测（5月31日）</t>
  </si>
  <si>
    <t>1.6:销售部：订单需求准确率达到90%（5月31日）</t>
  </si>
  <si>
    <t>目标2：生产成本占比7%（9月30日）</t>
  </si>
  <si>
    <t>2.1:计划部、采购部提升物料齐套率至95%以上，降低生产部门的等料时间（7月31日）</t>
  </si>
  <si>
    <t>2.2:三结合部、采购部联合采购部门建立供应商绩效评估体系，对供应商的交货及时率、物料质量等进行考核，优化供应商结构（7月31日）</t>
  </si>
  <si>
    <t>2.3:联合工艺部门进行线平衡测算，优化生产流程，推行“一个流”生产，减少生产过程中的等待和搬运浪费（9月31日）</t>
  </si>
  <si>
    <t>2.4:建立质量问题快速响应机制，对生产过程中出现的质量问题在24小时内解决，避免问题扩大（9月31日）</t>
  </si>
  <si>
    <t>2.5:研发部、工艺部、工艺装备部对机器进行修改更适合自动化设备装配（9月31日）</t>
  </si>
  <si>
    <t>2.6:版本管控BOM变更需各部门确认，工单下达后锁版本，同一时间段仅生产单一版本（9月31日）</t>
  </si>
  <si>
    <t>目标3：生产成本占比6%（11月30日）</t>
  </si>
  <si>
    <t>3.1:提升生产效率和产品质量，实现开箱合格率100%（10月31日）</t>
  </si>
  <si>
    <t>3.2:联合研发部门优化产品设计，减少产品的零部件数量和复杂度，降低生产难度和成本（11月30日）</t>
  </si>
  <si>
    <t>3.3:逐步引入自动化设备，对重复、繁琐的工序进行自动化改造，进一步提升生产效率（11月30日）</t>
  </si>
  <si>
    <t>全库存账实一致性治理，100%一致性</t>
  </si>
  <si>
    <t>2026.4.30</t>
  </si>
  <si>
    <t>完成原料、成品底数清点，账实一致率 100%，财务与用友系统数据对齐</t>
  </si>
  <si>
    <t>WD物料盘点，售后仓物料金额占比低于7%</t>
  </si>
  <si>
    <t>历史借货盘点与台账修正，财务校对.库存金额占比低于总库存18%</t>
  </si>
  <si>
    <t>全库盘点并输出盘点报告，汇总差异，差异处理。</t>
  </si>
  <si>
    <t>库存管理流程标准化建设</t>
  </si>
  <si>
    <t>2026.5.10</t>
  </si>
  <si>
    <t>售后仓建立与业务流程制定</t>
  </si>
  <si>
    <t>借货仓建立与业务流程制定</t>
  </si>
  <si>
    <t>三级核算业务流程与中台需求文档输出</t>
  </si>
  <si>
    <t>数字化系统能力支撑</t>
  </si>
  <si>
    <t>2026.6.1</t>
  </si>
  <si>
    <t>库存盘点账务处理功能完善</t>
  </si>
  <si>
    <t>借货调拨管理功能上线</t>
  </si>
  <si>
    <t>MES系统全链路流程功能开发</t>
  </si>
  <si>
    <t>成品SN扫码出入库</t>
  </si>
  <si>
    <t>呆滞库存专项清理</t>
  </si>
  <si>
    <t>呆滞库存研发确认明细输出</t>
  </si>
  <si>
    <t>库存出账清理执行 ，呆滞库存金额降低80%</t>
  </si>
  <si>
    <t>产销协同源头管控</t>
  </si>
  <si>
    <t>20206.6.30</t>
  </si>
  <si>
    <t>131每周计划拉通，确定采购、生产计划和风险项</t>
  </si>
  <si>
    <t>131每周销售发货量准确性评估。全年累计发货成本达1500W</t>
  </si>
  <si>
    <t>库存例行盘点与目标达成情况研判</t>
  </si>
  <si>
    <t>2026.7.31</t>
  </si>
  <si>
    <t>实物库存盘点与差异处理</t>
  </si>
  <si>
    <t>借货逾期监控与清点</t>
  </si>
  <si>
    <t>呆滞库存占比低于5%</t>
  </si>
  <si>
    <t>数据监控报表可视化</t>
  </si>
  <si>
    <t>中台功能例行开发会议与功能优化</t>
  </si>
  <si>
    <t>131每周销售发货量准确性评估，累计发货成本达到1900W</t>
  </si>
  <si>
    <t>数据复盘 、奖惩执行与子目标调整</t>
  </si>
  <si>
    <t>2026.8.1</t>
  </si>
  <si>
    <t>2026.8.31</t>
  </si>
  <si>
    <t>呆滞库存占比低于3%</t>
  </si>
  <si>
    <t>IT功能例行周会与排期</t>
  </si>
  <si>
    <t>131每周销售发货量准确性评估，累计发货成本达到2400W</t>
  </si>
  <si>
    <t>2026.9.1</t>
  </si>
  <si>
    <t>2026.9.30</t>
  </si>
  <si>
    <t>131每周销售发货量准确性评估，累计发货成本达到3000W</t>
  </si>
  <si>
    <t>2026.10.31</t>
  </si>
  <si>
    <t>131每周销售发货量准确性评估，累计发货成本达到3750W</t>
  </si>
  <si>
    <t>2026.11.1</t>
  </si>
  <si>
    <t>2026.11.30</t>
  </si>
  <si>
    <t>131每周销售发货量准确性评估，累计发货成本达到4700W</t>
  </si>
  <si>
    <t>2026.12.1</t>
  </si>
  <si>
    <t>2026.12.31</t>
  </si>
  <si>
    <t>131每周销售发货量准确性评估，累计发货成本达到6600W</t>
  </si>
  <si>
    <t>全年数据复盘 、奖惩执行</t>
  </si>
  <si>
    <t>建立销售考核穿透机制，销售每周刷新发货预测，运营部定期进行预测准确率考核，对于准确率低的战区进行通报并纳入考核</t>
  </si>
  <si>
    <t>通过CRM系统上线强化经销商提货及项目进度管控，优化预测模型，提升整体的预测准确率</t>
  </si>
  <si>
    <t>加强项目过程管理尤其是收款管理，建立符合发货条件的货物物权转移制度（即满足发货条件的货物如果长期占用公司库房不提货，要求客户进行物权转移并支付库存费用），打通影响发货的主要堵点。</t>
  </si>
  <si>
    <t>1采购资金根据销售收入预测、库存周转效率制定，当前供应链和财务共同组织3月盘点，以3月31日的库存数据为基准，以及销售收入预测规划，制定4月采购资金目标。当前正在盘点中，预计需4月第一周出具。</t>
  </si>
  <si>
    <t>费用支出需要跟业绩完成度相挂钩，综合业绩完成度=收入进度*50%+收款进度*50%，业绩完成度大于80%，按照当前预算支出，业绩完成度大于60%小于80%，变动费用同比例压缩，固定费用维持，重新评估招聘计划；业绩完成度小于60%，变动费用按实际收入比例压缩，固定费用冻结非必要支出；</t>
  </si>
  <si>
    <t>月度输出预算执行分析报告并分析问题。</t>
  </si>
  <si>
    <t>季度组织全公司预算复盘会</t>
  </si>
  <si>
    <t>天输出一次收入成本预测数据,</t>
  </si>
  <si>
    <t>4月：13日前出报表，18日前输出经营分析报告及分产品分战区核算数据，每7天输出一次收入成本预测数据,</t>
  </si>
  <si>
    <t>5月：13日前出报表，18日前输出经营分析报告及分产品分战区核算数据，每7天输出一次收入成本预测数据</t>
  </si>
  <si>
    <t>6月：13日前出报表，18日前输出经营分析报告及分产品分战区核算数据，每7天输出一次收入成本预测数据</t>
  </si>
  <si>
    <t>7月：13日前出报表，18日前输出经营分析报告及分产品分战区核算数据，每7天输出一次收入成本预测数据</t>
  </si>
  <si>
    <t>8月：7日前出报表，10日前输出经营分析报告及分产品分战区核算数据，每7天输出一次收入成本预测数据</t>
  </si>
  <si>
    <t>9月：7日前出报表，10日前输出经营分析报告及分产品分战区核算数据，每7天输出一次收入成本预测数据</t>
  </si>
  <si>
    <t>10月：7日前出报表，10日前输出经营分析报告及分产品分战区核算数据，每7天输出一次收入成本预测数据</t>
  </si>
  <si>
    <t>11月：7日前出报表，10日前输出经营分析报告及分产品分战区核算数据，每7天输出一次收入成本预测数据</t>
  </si>
  <si>
    <t>12月：7日前出报表，10日前输出经营分析报告及分产品分战区核算数据，每7天输出一次收入成本预测数据</t>
  </si>
  <si>
    <t>1、人力资源动态预算及触发器条件确认。3月31日</t>
  </si>
  <si>
    <t>2、2026年度薪酬制度优化方案确定并落地（见附件）。3月31日</t>
  </si>
  <si>
    <t>3、2026年度绩效考核方案、专项考核方案、员工考核计划确定；3月31日</t>
  </si>
  <si>
    <t>4、高密度人才及时到岗。</t>
  </si>
  <si>
    <t>1、2026年度组织绩效考核方案、专项考核方案、2026年度考核奖励方案确定；  3月31日</t>
  </si>
  <si>
    <t>2、2026年员工考核计划确定；3月31日；</t>
  </si>
  <si>
    <t>3、考核结果运用民主程序启动并公示。4月10日；</t>
  </si>
  <si>
    <t>3、执行考核；每月；</t>
  </si>
  <si>
    <t>1、薪酬优化方案确定； 3月31日</t>
  </si>
  <si>
    <t>2、薪酬方案沟通一一协商：4月1日-4月15日；</t>
  </si>
  <si>
    <t>3、薪酬考核执行。4月30日及后续每月；</t>
  </si>
  <si>
    <t>4、未协商一致人员的处理意见报批及确认。</t>
  </si>
  <si>
    <t>1、动态预算及周期内人力配置计划确定；3月30日</t>
  </si>
  <si>
    <t>1、动态预算及周期内人力配置计划确定；6月30日</t>
  </si>
  <si>
    <t>1、动态预算及周期内人力配置计划确定；9月30日；</t>
  </si>
  <si>
    <t>2、感知算法工程师、机械臂算法工程师、软件架构师等5个高密度岗位交付；4月30日</t>
  </si>
  <si>
    <t>3、模型算法工程师、机械臂算法工程师、具身领军人才等3个高密度岗位交付；5月30日；</t>
  </si>
  <si>
    <t>4月30日，深圳主体成立，设立社保公积金公司账号</t>
  </si>
  <si>
    <t>5月15日，用工方式切换（代理20人、外包14人）</t>
  </si>
  <si>
    <t>5月30日，海外人力资源服务商降本，合同变更</t>
  </si>
  <si>
    <t>3月，国内异地劳动关系停止开放，不再于南京、深圳以外建立任何雇佣关系（含外包、派遣）；</t>
  </si>
  <si>
    <t>4月：1、深圳主体设立；员工劳动合同切换沟通；（有较大协商不成风险，尤其是14名异地员工社保公积金缴纳地面临变更。）；
     2、人力资源服务商谈判、议价，服务费率降低30%；</t>
  </si>
  <si>
    <t>目标责任人</t>
  </si>
  <si>
    <t>总得分</t>
  </si>
  <si>
    <t>目标得分</t>
  </si>
  <si>
    <t>计划得分</t>
  </si>
  <si>
    <t>运作得分</t>
  </si>
  <si>
    <t>国内累计收费服务经销商占比超过35%</t>
  </si>
  <si>
    <t>国际累计收费服务经销商占比超过35%</t>
  </si>
  <si>
    <t>基线值/底线值</t>
  </si>
  <si>
    <t>年度目标进度</t>
  </si>
  <si>
    <t>3月（实际）</t>
  </si>
  <si>
    <t>3月（达成率）</t>
  </si>
  <si>
    <t>3月（得分）
满分80</t>
  </si>
  <si>
    <t>数字中台
（季明清）
维修单
（郭轶）</t>
  </si>
  <si>
    <r>
      <rPr>
        <sz val="9"/>
        <color rgb="FFFF0000"/>
        <rFont val="宋体"/>
        <charset val="134"/>
      </rPr>
      <t>非量化指标，以系统上线（100%）节点为准</t>
    </r>
    <r>
      <rPr>
        <sz val="9"/>
        <color rgb="FF000000"/>
        <rFont val="宋体"/>
        <charset val="134"/>
      </rPr>
      <t xml:space="preserve">
基线数据：不涉及
目标值：4月底前完成MES上线
月度完成率：上线：100%、未上线：无风险70%、有风险：40%；每提前一天+2%
目标进度：30%+30%+40%</t>
    </r>
  </si>
  <si>
    <t>合同异常率=异常合同数/签约合同总数</t>
  </si>
  <si>
    <t>财务提供</t>
  </si>
  <si>
    <t>合同异常率≤5%</t>
  </si>
  <si>
    <t>非正常优惠率=非正常优惠合同金额/合同总额</t>
  </si>
  <si>
    <t>非正常优惠合同比例≤10%</t>
  </si>
  <si>
    <t>JIRA</t>
  </si>
  <si>
    <t>各月经销商实际签约/交付收入累计额</t>
  </si>
  <si>
    <t>12月经销商累计收入1.6亿元</t>
  </si>
  <si>
    <t>每月新签合作协议的经销商数量</t>
  </si>
  <si>
    <t>每月新增经销商3个</t>
  </si>
  <si>
    <t>存销比 = 经销商库存 / 月销量</t>
  </si>
  <si>
    <t>Q3起存销比≤1.5:1</t>
  </si>
  <si>
    <t>复购率 = 有复购行为的经销商数 / 存量经销商总数</t>
  </si>
  <si>
    <t>12月经销商复购率达70%</t>
  </si>
  <si>
    <t>10%</t>
  </si>
  <si>
    <t>国内国际累计收费服务经销商比例占比超过35%</t>
  </si>
  <si>
    <t>毛利率 = (收入 - 成本) / 收入</t>
  </si>
  <si>
    <t>财务数据</t>
  </si>
  <si>
    <t>12月毛利率达60%</t>
  </si>
  <si>
    <t>30%</t>
  </si>
  <si>
    <t>12月应收周转天数≤40天</t>
  </si>
  <si>
    <t>财务确认</t>
  </si>
  <si>
    <t>政府批示文件</t>
  </si>
  <si>
    <t>质量统计
以BOM为准</t>
  </si>
  <si>
    <r>
      <rPr>
        <sz val="9"/>
        <color rgb="FFFF0000"/>
        <rFont val="宋体"/>
        <charset val="134"/>
      </rPr>
      <t>3、4、5缺少月度目标</t>
    </r>
    <r>
      <rPr>
        <sz val="9"/>
        <color rgb="FF000000"/>
        <rFont val="宋体"/>
        <charset val="134"/>
      </rPr>
      <t xml:space="preserve">
周期初、末总成本均值为A，周期内发货成本B
库存周转天数=周期天数/（B/A）
基线数据：以2026年3月为基线
目标值：全年库存周转天数达到55天（12月）
目标进度：目标值/实际值</t>
    </r>
  </si>
  <si>
    <t>主营业务经营性现金流净额（财务报表数据）
基线数据：暂无
目标值：主营业务经营性现金流为正
目标进度：（实际值-基线值）/(目标值-基线值)</t>
  </si>
  <si>
    <t>每月出具财务报表的天数
基线数据：不涉及
目标值：系统上线前每月13日前出报表，系统上线后每月7日前出财务报表
目标进度&amp;每月完成率：达成100分，每推迟一天扣25分</t>
  </si>
  <si>
    <t>万元人力成本收入 = 营业收入/人力资源成本
基线数据：暂无
目标值：每1万元人力资源成本带来3万元收入
目标进度：（实际值-基线值）/(目标值-基线值)
无月度目标值</t>
  </si>
  <si>
    <r>
      <rPr>
        <sz val="9"/>
        <color rgb="FF000000"/>
        <rFont val="宋体"/>
        <charset val="134"/>
      </rPr>
      <t xml:space="preserve">劳务服务费+猎头费+招聘费实际支出对比上年降低额
基线数据：0
目标值：降低46万元
</t>
    </r>
    <r>
      <rPr>
        <sz val="9"/>
        <color rgb="FFFF0000"/>
        <rFont val="宋体"/>
        <charset val="134"/>
      </rPr>
      <t>月度完成率：以里程碑活动计，完成且开始降费得100分；完成但未降费，未完成但降费得70分；未完成且未降费得40分。</t>
    </r>
    <r>
      <rPr>
        <sz val="9"/>
        <color rgb="FF000000"/>
        <rFont val="宋体"/>
        <charset val="134"/>
      </rPr>
      <t xml:space="preserve">
目标进度：实际值/基线值</t>
    </r>
  </si>
  <si>
    <t>奖金总额（万元）</t>
  </si>
  <si>
    <t>项目成员</t>
  </si>
  <si>
    <t>绩效应用方案</t>
  </si>
  <si>
    <t>个人奖金分配规则</t>
  </si>
  <si>
    <t>4月应用</t>
  </si>
  <si>
    <t>5月应用</t>
  </si>
  <si>
    <t>6月应用</t>
  </si>
  <si>
    <t>7月应用</t>
  </si>
  <si>
    <t>8月应用</t>
  </si>
  <si>
    <t>9月应用</t>
  </si>
  <si>
    <t>10月应用</t>
  </si>
  <si>
    <t>11月应用</t>
  </si>
  <si>
    <t>12月应用</t>
  </si>
  <si>
    <t>骨干成员：
徐融、赵鹏飞、巴路遥、夏文昊、崔凯旋
团队成员：
杨儡、季明清、陈晨光、徐倩楠、卢伟、戴程、张贵禹</t>
  </si>
  <si>
    <t>1、考核规则：
MTPF权重占比50%，1460权重占比50%；
达成得满分，未达成得0分；
2、奖励规则：
过程奖金占40%，根据里程碑平均安排，里程碑达成即奖励；月度未达成：月度绩效考核体现
项目总目标占60%，年达成总目标，团队成员发放一次性奖金，未达成不予发放；</t>
  </si>
  <si>
    <t>待提报</t>
  </si>
  <si>
    <t>骨干成员：
崔凯旋、赖禹诚、胡剑锋、徐融、赵鹏飞、季明清、陈晨光
团队成员：
张晨光、郭轶、卢伟、王家轩、王江玉、葛毓琴、孙威威、史博文</t>
  </si>
  <si>
    <t>1、考核细则：
  SW 50权重60%；Titan810权重40%；目标达成得满分，目标未达成得0分；月度得分=产品权重*产品目标得分；
2、奖励细则：
 （1）过程激励额度占40%，按里程碑节点个数平均分布；里程碑达成即奖励，未达成不激励
 （2）年度目标额度占60%；年度目标达成，即奖励，未达成不激励</t>
  </si>
  <si>
    <t>月度激励部分：骨干占40%，团队成员占60%；骨干成员和团队成员平均分配；年度激励部分：骨干占60%；团队成员占40%；骨干成员和团队成员平均分配</t>
  </si>
  <si>
    <t>骨干成员：
季明清、袭丽丽、刘欣仪、张海滨、夏文昊、张珂铜
团队成员：
莫严、羊柬衡、刘佳慧、吴琳、袁子清、陈雨秋、季阳阳</t>
  </si>
  <si>
    <t>考核细则：
1、Mes4月按时上线，即奖励；未达成，不奖励（2）
2、三流合一6月按时达成，即奖励；未达成，不奖励（6）
3、零号员工8月按时上线，达成即奖励，未达成，不奖励（2）</t>
  </si>
  <si>
    <t>合同质量提升</t>
  </si>
  <si>
    <t>张海滨、袭丽丽、崔凯旋、徐萍</t>
  </si>
  <si>
    <t>1、考核规则
两项内容各占50%权重，按照实际完成目标线性得分，低于目标值15%以上不得分，得分70分为处罚线，85分为奖励线。每月进行目标完成统计，年度得分为12个月的平均分。</t>
  </si>
  <si>
    <t>平均分配，由项目管理委员会最后审定</t>
  </si>
  <si>
    <t>研发质量提升</t>
  </si>
  <si>
    <t>赵鹏飞，袁德明，陈晨光，季明清，冯景，宋丰懿，巴路瑶，张晨光，杨德鑫，吴赛</t>
  </si>
  <si>
    <t>两个指标，上半年目标全部达成，不扣钱，达成一个，扣5000，都不达成，扣10000；均摊到7到12月绩效；年底，全部达成，奖金池全额发放（对冲上半年扣除部分）；达成一个，发20000；都不达成，不发放。</t>
  </si>
  <si>
    <t>采购质量提升</t>
  </si>
  <si>
    <t>谷万成、巴路遥、夏文昊、曹阳</t>
  </si>
  <si>
    <t>当月出现批次不合格，对应采购人处罚500元；全年未出现批次不合格的一次性奖励5000元</t>
  </si>
  <si>
    <t>平均分配</t>
  </si>
  <si>
    <t>生产过程质量提升</t>
  </si>
  <si>
    <t>骨干成员：
赖禹诚、胡剑烽、宋丰懿、冯景、巴路遥、夏文昊、吴赛
团队成员：
吴赛、袁德明、朱尚荣、仲王磊、王昕珏、任静、罗文选、高文豪、张洪意、王旭忠、曹长业</t>
  </si>
  <si>
    <t>1、奖励规则：
   过程奖金占40%，根据里程碑平均安排，里程碑达成即奖励；月度未达成：月度绩效考核体现；重大质量问题按照质量问责管理制度执行
   项目总目标占60%，年达成总目标，团队成员发放一次性奖金，未达成不予发放；
2、考核规则
3月至6月加权计算得分低于75%为未达成；
7月至12月加权计算得分低于80%为未达成；
开箱合格率达成率：（实际合格率 ÷ 当月目标合格率）；
维修率达成率：（当月目标合格率 ÷实际合格率 ）；
当月达成率=开箱合格率达成率*50%+维修率达成率*50%</t>
  </si>
  <si>
    <t>售后质量提升</t>
  </si>
  <si>
    <t>郭轶，赵俊</t>
  </si>
  <si>
    <t>1、两个指标权重各50%
2、过程激励额度40%；年度目标额度60%；
季度考核细则：目标达成得满分，目标未达成得0分；月度得分=指标权重*目标得分；
年度奖励细则：两个指标目标全部达成，激励生效</t>
  </si>
  <si>
    <t>张海滨、王志敏、范军、单辉宇、胡斌</t>
  </si>
  <si>
    <t>1、考核规则
收入权重30%，新增经销商权重20%、经销商存销比权重30%、经销商复购率权重20%
得分=单项权重*单项得分、得分≤60分，视为未达成，将进行处罚，处罚金额总额1.5万；
得分≥100分，视为达成，进行奖励。
2、奖励规则
   过程奖金占40%，根据里程碑平均安排，里程碑达成即奖励；月度未达成：月度绩效考核体现；并进行对应奖励金额50%的处罚。
   项目总目标占60%，年达成总目标，团队成员发放一次性奖金，未达成不予发放；并进行对应奖励金额50%的处罚。
达成即奖励，未达成进行处罚</t>
  </si>
  <si>
    <t>销售部门按照各自部门的完成准确率执行。销售管理部门和运营部门按照公司整体结果应用。结果按照季度进行应用</t>
  </si>
  <si>
    <t>崔凯旋、张海滨、徐融、胡剑烽、赖禹城、王志敏、范军、单辉宇、胡斌</t>
  </si>
  <si>
    <t>1、考核规则
国际权重70%，国内30%
得分=单项权重*单项得分、得分≤60分，视为未达成，将进行处罚，处罚金额总额1.5万；
得分≥100分，视为达成，进行奖励。
2、奖励规则
   过程奖金占40%，根据里程碑平均安排，里程碑达成即奖励；月度未达成：月度绩效考核体现；并进行对应奖励金额50%的处罚。
   项目总目标占60%，年达成总目标，团队成员发放一次性奖金，未达成不予发放；并进行对应奖励金额50%的处罚。
达成即奖励，未达成进行处罚</t>
  </si>
  <si>
    <t>张海滨、崔凯旋、王志敏、范军、单辉宇、胡斌 张珂铜</t>
  </si>
  <si>
    <t>1、考核规则
毛利率指标权重50%，应收周转天数指标权重50%
得分=单项权重*单项得分、得分≤60分，视为未达成，将进行处罚，处罚金额总额1万；
得分≥100分，视为达成，进行奖励。奖励总额2万
2、奖励规则
   过程奖金占40%，根据里程碑平均安排，里程碑达成即奖励；月度未达成：月度绩效考核体现；并进行对应奖励金额50%的处罚。
   项目总目标占60%，年达成总目标，团队成员发放一次性奖金，未达成不予发放；并进行对应奖励金额50%的处罚。
达成即奖励，未达成进行处罚</t>
  </si>
  <si>
    <t>（1）按此时间节点执行，政府资金按时到账或减免，责任团队可获5%的现金奖励，次月体现，由项目经理具体分配； 
（2）若当月未按时达成目标，按未完成比例减扣当月绩效。 
（3）若月度目标延期但全年目标全部达成，需在年底将月度扣减绩效补回。
（4）项目运作过程中所需公司其他部门提供支持的，其他部门不提供或未及时提供支持的，导致项目未按时完成目标，由该部门负责人及分管领导承担相应罚则。</t>
  </si>
  <si>
    <t>项目经理分配</t>
  </si>
  <si>
    <t>消除独家专项-GT</t>
  </si>
  <si>
    <t>GT团队：陈栋力、巴路遥、莫严、曹阳、赵鹏飞、袁子清、胡剑烽、宁京冀、王昕珏、葛宏晨、孟阳、马壮、袁德明、刘欣仪、张珂铜、谷万成、吴思锐、万登源、夏文昊、宋丰懿、高文豪、张晨光、陈晨光、季明清；
Titan810团队：陈栋力、巴路遥、莫严、曹阳、赵鹏飞、袁子清、赖禹诚、任静、王昕珏、罗文选、马壮、叶银、袁德明、刘欣仪、张珂铜、谷万成、吴思锐、万登源、夏文昊、张晨光、陈晨光、季明清；</t>
  </si>
  <si>
    <t>过程奖金占40%，根据里程碑平均安排，里程碑达成即奖励；月度未达成：月度绩效考核体现
项目总目标占60%，年达成总目标，团队成员发放一次性奖金，未达成不予发放；</t>
  </si>
  <si>
    <t>消除独家专项-810</t>
  </si>
  <si>
    <t>SW降本专项</t>
  </si>
  <si>
    <t>每月降本额度： ∑(某版本上月降本幅度/台×该版本本月发货量)
每月降本缺额： ∑(（1万元-某版本上月降本幅度/台）×该版本本月发货量)
目标完成率：每月降本额度/（1万元×本月发货量）
完成度小于90% 惩罚＝每月降本缺额× 1%
完成度大于等于90% 奖励 =每月降本额度× 3%
完成度大于100% 基础奖励全额发放，并可对超额部分额外提奖（3%）</t>
  </si>
  <si>
    <t>暂定平均</t>
  </si>
  <si>
    <t>810降本专项</t>
  </si>
  <si>
    <t>每月降本额度： ∑(某版本上月降本幅度/台×该版本本月发货量)
每月降本缺额： ∑(（3万元-某版本上月降本幅度/台）×该版本本月发货量)
目标完成率：每月降本额度/（3万元×本月发货量）
完成度小于90% 惩罚＝每月降本缺额× 1%
完成度大于等于90% 奖励 =每月降本额度× 3%
完成度大于100% 基础奖励全额发放，并可对超额部分额外提奖（3%）</t>
  </si>
  <si>
    <t>生产部（夏文昊）、仓储物流部（张珂铜、吴思锐）、计划部（刘欣仪、万登源）、质检部（巴路瑶）、质量部（吴赛、袁德明）、研发部（徐融）、IT部（季明清）、工艺装备部（方哲）、采购部（谷万成）、售后部（崔凯旋）、销售部（张海滨）、三结合部（曹阳）</t>
  </si>
  <si>
    <t>从达成6%的当月开始按当月机器发货量价格发放奖金，直至12月。发放比例为当月发货数*（12.24%-6%）*5%
超额贡献奖：成本低于6%，额外给予6%-x%降幅比例结合发货台数总金额的5%计算奖励，达到目标之时当月开始奖励。当月发货数*（6%-x%）*5%
11月底若没达到，12月份开始扣当月绩效，按x%-6%的差额结合年度发货台数的1%扣除。直到6%达成，若一月份没达成则按照当月发货计算处罚。</t>
  </si>
  <si>
    <t>供应链：张珂铜、刘欣仪、夏文昊、谷万成、巴路瑶、万登源、曹阳、吴思锐
市场：张海滨、王志敏、范军、单辉宇、胡斌
售后：崔凯旋、朱尚荣
IT：季明清、羊柬衡</t>
  </si>
  <si>
    <t>按照每个月度目标达成情况给予奖励或惩处
挑战目标达成则对应季度奖励金额*1.2
其中：
1.借货仓，每人不超过2套，借货金额占比不超过总库存18%，国内周转天数不超过30天，国外周转天数不超过100天（含物流周转）；
2.售后仓含wd售后备件，金额占比不超过总库存7%，周转天数不超过100天（含物流周转）
3.剩余的为原料仓和在线以及成品，按照上述两个仓的周转天数，要达到整体55天，原料仓和在线以及成品的整体周转要在45天之内
每月各团队负责人汇总评估当月达成情况，根据组内成员具体任务达成确定奖惩分配</t>
  </si>
  <si>
    <t>各团对负责人按月度团队分配总金额，分配到个人</t>
  </si>
  <si>
    <t>预测准确率</t>
  </si>
  <si>
    <t>张海滨 崔凯旋、王志敏、范军、单辉宇、胡斌，徐萍</t>
  </si>
  <si>
    <t>1、考核规则
一周预测准确率权重40%，4周准确率权重30%，5周准确率30%；
得分=单项权重*单项得分、得分≤60分，视为未达成，将进行处罚，处罚金额总额2.5万；
得分≥100分，视为达成，进行奖励。奖励总额5万；
2、奖励规则
   过程奖金占40%，根据里程碑平均安排，里程碑达成即奖励；月度未达成：月度绩效考核体现；并进行对应奖励金额50%的处罚。
   项目总目标占60%，年达成总目标，团队成员发放一次性奖金，未达成不予发放；并进行对应奖励金额50%的处罚。
达成即奖励，未达成进行处罚</t>
  </si>
  <si>
    <t>销售部门按照各自部门的预测准确率执行。销售管理部门和运营部门按照公司整体结果应用</t>
  </si>
  <si>
    <t>袭丽丽、吴琳、袁子清陈雨
秋、刘欣仪、张珂铜、张海
滨、徐萍、数字中台代表</t>
  </si>
  <si>
    <t>达成即奖励，团队成员发放一次性奖金；
未达成，月度绩效考核体现；</t>
  </si>
  <si>
    <t>袭丽丽、吴琳、袁子清、张
海滨、徐萍、崔凯旋、张珂铜、刘欣仪、徐融、人事代表、数字中台代表</t>
  </si>
  <si>
    <t>钱飞飞、李蒙</t>
  </si>
  <si>
    <t xml:space="preserve">达成即奖励，团队成员发放一次性奖金；
未达成，月度绩效考核体现；  </t>
  </si>
  <si>
    <t>孙林海、何波、李蒙、钱飞飞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</si>
</sst>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9"/>
      <color rgb="FFFFFFFF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b/>
      <sz val="9"/>
      <color theme="0"/>
      <name val="宋体"/>
      <charset val="134"/>
    </font>
    <font>
      <b/>
      <sz val="12"/>
      <color rgb="FF000000"/>
      <name val="宋体"/>
      <charset val="134"/>
    </font>
    <font>
      <b/>
      <sz val="10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9"/>
      <color theme="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color rgb="FFFF000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5ECD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0F0FF"/>
        <bgColor indexed="64"/>
      </patternFill>
    </fill>
    <fill>
      <patternFill patternType="solid">
        <fgColor rgb="FFEBFAF5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10" applyNumberFormat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23" borderId="10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3" borderId="0" xfId="0" applyFont="1" applyFill="1" applyAlignment="1"/>
    <xf numFmtId="0" fontId="5" fillId="3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/>
    <xf numFmtId="0" fontId="3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176" fontId="3" fillId="7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left" vertical="center" wrapText="1"/>
    </xf>
    <xf numFmtId="10" fontId="4" fillId="3" borderId="5" xfId="0" applyNumberFormat="1" applyFont="1" applyFill="1" applyBorder="1" applyAlignment="1">
      <alignment horizontal="center" vertical="center" wrapText="1"/>
    </xf>
    <xf numFmtId="176" fontId="8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10" fontId="4" fillId="4" borderId="5" xfId="0" applyNumberFormat="1" applyFont="1" applyFill="1" applyBorder="1" applyAlignment="1">
      <alignment horizontal="left" vertical="center" wrapText="1"/>
    </xf>
    <xf numFmtId="176" fontId="8" fillId="4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0" fontId="4" fillId="4" borderId="5" xfId="0" applyNumberFormat="1" applyFont="1" applyFill="1" applyBorder="1" applyAlignment="1">
      <alignment horizontal="center" vertical="center" wrapText="1"/>
    </xf>
    <xf numFmtId="9" fontId="4" fillId="4" borderId="5" xfId="0" applyNumberFormat="1" applyFont="1" applyFill="1" applyBorder="1" applyAlignment="1">
      <alignment horizontal="left" vertical="center" wrapText="1"/>
    </xf>
    <xf numFmtId="9" fontId="4" fillId="4" borderId="5" xfId="0" applyNumberFormat="1" applyFont="1" applyFill="1" applyBorder="1" applyAlignment="1">
      <alignment horizontal="center" vertical="center" wrapText="1"/>
    </xf>
    <xf numFmtId="10" fontId="6" fillId="4" borderId="5" xfId="0" applyNumberFormat="1" applyFont="1" applyFill="1" applyBorder="1" applyAlignment="1">
      <alignment horizontal="center" vertical="center" wrapText="1"/>
    </xf>
    <xf numFmtId="9" fontId="6" fillId="4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4" fillId="4" borderId="5" xfId="0" applyNumberFormat="1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0" fillId="8" borderId="0" xfId="0" applyFont="1" applyFill="1" applyAlignment="1"/>
    <xf numFmtId="0" fontId="9" fillId="2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left" vertical="center" wrapText="1"/>
    </xf>
    <xf numFmtId="58" fontId="0" fillId="9" borderId="6" xfId="0" applyNumberFormat="1" applyFont="1" applyFill="1" applyBorder="1" applyAlignment="1">
      <alignment horizontal="left" vertical="center" wrapText="1"/>
    </xf>
    <xf numFmtId="0" fontId="0" fillId="10" borderId="6" xfId="0" applyFont="1" applyFill="1" applyBorder="1" applyAlignment="1">
      <alignment horizontal="center" vertical="center" wrapText="1"/>
    </xf>
    <xf numFmtId="0" fontId="0" fillId="10" borderId="6" xfId="0" applyFont="1" applyFill="1" applyBorder="1" applyAlignment="1">
      <alignment horizontal="left" vertical="center" wrapText="1"/>
    </xf>
    <xf numFmtId="58" fontId="0" fillId="10" borderId="6" xfId="0" applyNumberFormat="1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0" fillId="11" borderId="6" xfId="0" applyFont="1" applyFill="1" applyBorder="1" applyAlignment="1">
      <alignment horizontal="center" vertical="center" wrapText="1"/>
    </xf>
    <xf numFmtId="0" fontId="0" fillId="11" borderId="6" xfId="0" applyFont="1" applyFill="1" applyBorder="1" applyAlignment="1">
      <alignment horizontal="left" vertical="center" wrapText="1"/>
    </xf>
    <xf numFmtId="58" fontId="0" fillId="11" borderId="6" xfId="0" applyNumberFormat="1" applyFont="1" applyFill="1" applyBorder="1" applyAlignment="1">
      <alignment horizontal="left" vertical="center" wrapText="1"/>
    </xf>
    <xf numFmtId="0" fontId="0" fillId="8" borderId="6" xfId="0" applyFont="1" applyFill="1" applyBorder="1" applyAlignment="1">
      <alignment horizontal="center" vertical="center" wrapText="1"/>
    </xf>
    <xf numFmtId="0" fontId="0" fillId="8" borderId="6" xfId="0" applyFont="1" applyFill="1" applyBorder="1" applyAlignment="1">
      <alignment horizontal="left" vertical="center" wrapText="1"/>
    </xf>
    <xf numFmtId="58" fontId="0" fillId="8" borderId="6" xfId="0" applyNumberFormat="1" applyFont="1" applyFill="1" applyBorder="1" applyAlignment="1">
      <alignment horizontal="left" vertical="center" wrapText="1"/>
    </xf>
    <xf numFmtId="0" fontId="0" fillId="12" borderId="6" xfId="0" applyFont="1" applyFill="1" applyBorder="1" applyAlignment="1">
      <alignment horizontal="center" vertical="center" wrapText="1"/>
    </xf>
    <xf numFmtId="0" fontId="0" fillId="12" borderId="6" xfId="0" applyFont="1" applyFill="1" applyBorder="1" applyAlignment="1">
      <alignment horizontal="left" vertical="center" wrapText="1"/>
    </xf>
    <xf numFmtId="0" fontId="0" fillId="13" borderId="6" xfId="0" applyFont="1" applyFill="1" applyBorder="1" applyAlignment="1">
      <alignment horizontal="center" vertical="center" wrapText="1"/>
    </xf>
    <xf numFmtId="0" fontId="0" fillId="13" borderId="6" xfId="0" applyFont="1" applyFill="1" applyBorder="1" applyAlignment="1">
      <alignment horizontal="left" vertical="center" wrapText="1"/>
    </xf>
    <xf numFmtId="0" fontId="0" fillId="14" borderId="6" xfId="0" applyFont="1" applyFill="1" applyBorder="1" applyAlignment="1">
      <alignment horizontal="center" vertical="center" wrapText="1"/>
    </xf>
    <xf numFmtId="0" fontId="0" fillId="14" borderId="6" xfId="0" applyFont="1" applyFill="1" applyBorder="1" applyAlignment="1">
      <alignment horizontal="left" vertical="center" wrapText="1"/>
    </xf>
    <xf numFmtId="58" fontId="0" fillId="14" borderId="6" xfId="0" applyNumberFormat="1" applyFont="1" applyFill="1" applyBorder="1" applyAlignment="1">
      <alignment horizontal="left" vertical="center" wrapText="1"/>
    </xf>
    <xf numFmtId="0" fontId="10" fillId="14" borderId="6" xfId="0" applyFont="1" applyFill="1" applyBorder="1" applyAlignment="1">
      <alignment horizontal="left" vertical="center" wrapText="1"/>
    </xf>
    <xf numFmtId="0" fontId="0" fillId="15" borderId="6" xfId="0" applyFont="1" applyFill="1" applyBorder="1" applyAlignment="1">
      <alignment horizontal="center" vertical="center" wrapText="1"/>
    </xf>
    <xf numFmtId="0" fontId="0" fillId="15" borderId="6" xfId="0" applyFont="1" applyFill="1" applyBorder="1" applyAlignment="1">
      <alignment horizontal="left" vertical="center" wrapText="1"/>
    </xf>
    <xf numFmtId="0" fontId="0" fillId="16" borderId="6" xfId="0" applyFont="1" applyFill="1" applyBorder="1" applyAlignment="1">
      <alignment horizontal="center" vertical="center" wrapText="1"/>
    </xf>
    <xf numFmtId="0" fontId="0" fillId="16" borderId="6" xfId="0" applyFont="1" applyFill="1" applyBorder="1" applyAlignment="1">
      <alignment horizontal="left" vertical="center" wrapText="1"/>
    </xf>
    <xf numFmtId="0" fontId="0" fillId="17" borderId="6" xfId="0" applyFont="1" applyFill="1" applyBorder="1" applyAlignment="1">
      <alignment horizontal="center" vertical="center" wrapText="1"/>
    </xf>
    <xf numFmtId="0" fontId="0" fillId="17" borderId="6" xfId="0" applyFont="1" applyFill="1" applyBorder="1" applyAlignment="1">
      <alignment horizontal="left" vertical="center" wrapText="1"/>
    </xf>
    <xf numFmtId="0" fontId="10" fillId="17" borderId="6" xfId="0" applyFont="1" applyFill="1" applyBorder="1" applyAlignment="1">
      <alignment horizontal="left" vertical="center" wrapText="1"/>
    </xf>
    <xf numFmtId="0" fontId="0" fillId="18" borderId="6" xfId="0" applyFont="1" applyFill="1" applyBorder="1" applyAlignment="1">
      <alignment horizontal="center" vertical="center" wrapText="1"/>
    </xf>
    <xf numFmtId="0" fontId="0" fillId="18" borderId="6" xfId="0" applyFont="1" applyFill="1" applyBorder="1" applyAlignment="1">
      <alignment horizontal="left" vertical="center" wrapText="1"/>
    </xf>
    <xf numFmtId="58" fontId="0" fillId="18" borderId="6" xfId="0" applyNumberFormat="1" applyFont="1" applyFill="1" applyBorder="1" applyAlignment="1">
      <alignment horizontal="left" vertical="center" wrapText="1"/>
    </xf>
    <xf numFmtId="0" fontId="10" fillId="18" borderId="6" xfId="0" applyFont="1" applyFill="1" applyBorder="1" applyAlignment="1">
      <alignment horizontal="left" vertical="center" wrapText="1"/>
    </xf>
    <xf numFmtId="0" fontId="0" fillId="19" borderId="6" xfId="0" applyFont="1" applyFill="1" applyBorder="1" applyAlignment="1">
      <alignment horizontal="center" vertical="center" wrapText="1"/>
    </xf>
    <xf numFmtId="0" fontId="0" fillId="19" borderId="6" xfId="0" applyFont="1" applyFill="1" applyBorder="1" applyAlignment="1">
      <alignment horizontal="left" vertical="center" wrapText="1"/>
    </xf>
    <xf numFmtId="0" fontId="0" fillId="20" borderId="6" xfId="0" applyFont="1" applyFill="1" applyBorder="1" applyAlignment="1">
      <alignment horizontal="center" vertical="center" wrapText="1"/>
    </xf>
    <xf numFmtId="0" fontId="0" fillId="20" borderId="6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77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vertical="center" wrapText="1"/>
    </xf>
    <xf numFmtId="177" fontId="4" fillId="4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9" fontId="1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W60"/>
  <sheetViews>
    <sheetView tabSelected="1" workbookViewId="0">
      <pane xSplit="5" ySplit="1" topLeftCell="F34" activePane="bottomRight" state="frozen"/>
      <selection/>
      <selection pane="topRight"/>
      <selection pane="bottomLeft"/>
      <selection pane="bottomRight" activeCell="E37" sqref="E37"/>
    </sheetView>
  </sheetViews>
  <sheetFormatPr defaultColWidth="9" defaultRowHeight="11.25"/>
  <cols>
    <col min="1" max="1" width="16.070796460177" style="1" customWidth="1"/>
    <col min="2" max="3" width="11.353982300885" style="24" customWidth="1"/>
    <col min="4" max="4" width="12.283185840708" style="1" customWidth="1"/>
    <col min="5" max="5" width="22" style="1" customWidth="1"/>
    <col min="6" max="6" width="39.4336283185841" style="1" customWidth="1"/>
    <col min="7" max="9" width="15.141592920354" style="25" customWidth="1"/>
    <col min="10" max="11" width="10.0265486725664" style="25" customWidth="1"/>
    <col min="12" max="12" width="9.96460176991151" style="25" customWidth="1"/>
    <col min="13" max="13" width="21.646017699115" style="1" customWidth="1"/>
    <col min="14" max="23" width="14" style="1" customWidth="1"/>
    <col min="24" max="16384" width="9" style="1"/>
  </cols>
  <sheetData>
    <row r="1" s="1" customFormat="1" ht="25" customHeight="1" spans="1:2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</row>
    <row r="2" s="20" customFormat="1" ht="52" customHeight="1" spans="1:23">
      <c r="A2" s="32" t="s">
        <v>23</v>
      </c>
      <c r="B2" s="33" t="s">
        <v>24</v>
      </c>
      <c r="C2" s="33" t="s">
        <v>25</v>
      </c>
      <c r="D2" s="33" t="s">
        <v>24</v>
      </c>
      <c r="E2" s="32" t="s">
        <v>26</v>
      </c>
      <c r="F2" s="32" t="s">
        <v>27</v>
      </c>
      <c r="G2" s="33" t="s">
        <v>28</v>
      </c>
      <c r="H2" s="33" t="s">
        <v>29</v>
      </c>
      <c r="I2" s="33" t="s">
        <v>30</v>
      </c>
      <c r="J2" s="33" t="s">
        <v>31</v>
      </c>
      <c r="K2" s="33" t="s">
        <v>31</v>
      </c>
      <c r="L2" s="33">
        <v>1.83</v>
      </c>
      <c r="M2" s="32">
        <v>400</v>
      </c>
      <c r="N2" s="33">
        <v>5</v>
      </c>
      <c r="O2" s="33">
        <v>10</v>
      </c>
      <c r="P2" s="33">
        <v>20</v>
      </c>
      <c r="Q2" s="33">
        <v>30</v>
      </c>
      <c r="R2" s="33">
        <v>50</v>
      </c>
      <c r="S2" s="33">
        <v>100</v>
      </c>
      <c r="T2" s="33">
        <v>150</v>
      </c>
      <c r="U2" s="33">
        <v>200</v>
      </c>
      <c r="V2" s="33">
        <v>300</v>
      </c>
      <c r="W2" s="33">
        <v>400</v>
      </c>
    </row>
    <row r="3" s="20" customFormat="1" ht="52" customHeight="1" spans="1:23">
      <c r="A3" s="32" t="s">
        <v>23</v>
      </c>
      <c r="B3" s="33" t="s">
        <v>24</v>
      </c>
      <c r="C3" s="33" t="s">
        <v>25</v>
      </c>
      <c r="D3" s="33" t="s">
        <v>24</v>
      </c>
      <c r="E3" s="32" t="s">
        <v>32</v>
      </c>
      <c r="F3" s="37" t="s">
        <v>33</v>
      </c>
      <c r="G3" s="38" t="s">
        <v>28</v>
      </c>
      <c r="H3" s="33" t="s">
        <v>29</v>
      </c>
      <c r="I3" s="33" t="s">
        <v>30</v>
      </c>
      <c r="J3" s="38" t="s">
        <v>31</v>
      </c>
      <c r="K3" s="38" t="s">
        <v>31</v>
      </c>
      <c r="L3" s="33">
        <v>1.88</v>
      </c>
      <c r="M3" s="32">
        <v>400</v>
      </c>
      <c r="N3" s="33">
        <v>5</v>
      </c>
      <c r="O3" s="33">
        <v>10</v>
      </c>
      <c r="P3" s="33">
        <v>20</v>
      </c>
      <c r="Q3" s="33">
        <v>30</v>
      </c>
      <c r="R3" s="33">
        <v>50</v>
      </c>
      <c r="S3" s="33">
        <v>100</v>
      </c>
      <c r="T3" s="33">
        <v>150</v>
      </c>
      <c r="U3" s="33">
        <v>200</v>
      </c>
      <c r="V3" s="33">
        <v>300</v>
      </c>
      <c r="W3" s="33">
        <v>400</v>
      </c>
    </row>
    <row r="4" s="20" customFormat="1" ht="52" customHeight="1" spans="1:23">
      <c r="A4" s="32" t="s">
        <v>23</v>
      </c>
      <c r="B4" s="33" t="s">
        <v>24</v>
      </c>
      <c r="C4" s="33" t="s">
        <v>25</v>
      </c>
      <c r="D4" s="33" t="s">
        <v>24</v>
      </c>
      <c r="E4" s="32" t="s">
        <v>34</v>
      </c>
      <c r="F4" s="32" t="s">
        <v>27</v>
      </c>
      <c r="G4" s="33" t="s">
        <v>28</v>
      </c>
      <c r="H4" s="33" t="s">
        <v>29</v>
      </c>
      <c r="I4" s="33" t="s">
        <v>30</v>
      </c>
      <c r="J4" s="33" t="s">
        <v>31</v>
      </c>
      <c r="K4" s="33" t="s">
        <v>31</v>
      </c>
      <c r="L4" s="33">
        <v>6.37</v>
      </c>
      <c r="M4" s="32">
        <v>400</v>
      </c>
      <c r="N4" s="33">
        <v>5</v>
      </c>
      <c r="O4" s="33">
        <v>10</v>
      </c>
      <c r="P4" s="33">
        <v>20</v>
      </c>
      <c r="Q4" s="33">
        <v>30</v>
      </c>
      <c r="R4" s="33">
        <v>50</v>
      </c>
      <c r="S4" s="33">
        <v>100</v>
      </c>
      <c r="T4" s="33">
        <v>150</v>
      </c>
      <c r="U4" s="33">
        <v>200</v>
      </c>
      <c r="V4" s="33">
        <v>300</v>
      </c>
      <c r="W4" s="33">
        <v>400</v>
      </c>
    </row>
    <row r="5" s="20" customFormat="1" ht="67" customHeight="1" spans="1:23">
      <c r="A5" s="37" t="s">
        <v>23</v>
      </c>
      <c r="B5" s="33" t="s">
        <v>24</v>
      </c>
      <c r="C5" s="33" t="s">
        <v>25</v>
      </c>
      <c r="D5" s="33" t="s">
        <v>24</v>
      </c>
      <c r="E5" s="37" t="s">
        <v>35</v>
      </c>
      <c r="F5" s="37" t="s">
        <v>36</v>
      </c>
      <c r="G5" s="38" t="s">
        <v>37</v>
      </c>
      <c r="H5" s="33" t="s">
        <v>29</v>
      </c>
      <c r="I5" s="33" t="s">
        <v>30</v>
      </c>
      <c r="J5" s="38" t="s">
        <v>31</v>
      </c>
      <c r="K5" s="38" t="s">
        <v>38</v>
      </c>
      <c r="L5" s="38" t="s">
        <v>25</v>
      </c>
      <c r="M5" s="37">
        <v>2000</v>
      </c>
      <c r="N5" s="38">
        <v>570</v>
      </c>
      <c r="O5" s="38">
        <v>650</v>
      </c>
      <c r="P5" s="38">
        <v>750</v>
      </c>
      <c r="Q5" s="38">
        <v>860</v>
      </c>
      <c r="R5" s="38">
        <v>990</v>
      </c>
      <c r="S5" s="38">
        <v>1150</v>
      </c>
      <c r="T5" s="38">
        <v>1300</v>
      </c>
      <c r="U5" s="38">
        <v>1500</v>
      </c>
      <c r="V5" s="38">
        <v>1740</v>
      </c>
      <c r="W5" s="38">
        <v>2000</v>
      </c>
    </row>
    <row r="6" s="20" customFormat="1" ht="64" customHeight="1" spans="1:23">
      <c r="A6" s="32" t="s">
        <v>23</v>
      </c>
      <c r="B6" s="33" t="s">
        <v>24</v>
      </c>
      <c r="C6" s="33" t="s">
        <v>25</v>
      </c>
      <c r="D6" s="33" t="s">
        <v>24</v>
      </c>
      <c r="E6" s="32" t="s">
        <v>39</v>
      </c>
      <c r="F6" s="32" t="s">
        <v>40</v>
      </c>
      <c r="G6" s="38" t="s">
        <v>37</v>
      </c>
      <c r="H6" s="33" t="s">
        <v>29</v>
      </c>
      <c r="I6" s="33" t="s">
        <v>30</v>
      </c>
      <c r="J6" s="33" t="s">
        <v>31</v>
      </c>
      <c r="K6" s="33" t="s">
        <v>38</v>
      </c>
      <c r="L6" s="33" t="s">
        <v>25</v>
      </c>
      <c r="M6" s="32">
        <v>2000</v>
      </c>
      <c r="N6" s="33">
        <v>570</v>
      </c>
      <c r="O6" s="33">
        <v>650</v>
      </c>
      <c r="P6" s="33">
        <v>750</v>
      </c>
      <c r="Q6" s="33">
        <v>860</v>
      </c>
      <c r="R6" s="33">
        <v>990</v>
      </c>
      <c r="S6" s="33">
        <v>1150</v>
      </c>
      <c r="T6" s="33">
        <v>1300</v>
      </c>
      <c r="U6" s="33">
        <v>1500</v>
      </c>
      <c r="V6" s="33">
        <v>1740</v>
      </c>
      <c r="W6" s="33">
        <v>2000</v>
      </c>
    </row>
    <row r="7" s="20" customFormat="1" ht="62" customHeight="1" spans="1:23">
      <c r="A7" s="37" t="s">
        <v>23</v>
      </c>
      <c r="B7" s="33" t="s">
        <v>24</v>
      </c>
      <c r="C7" s="33" t="s">
        <v>25</v>
      </c>
      <c r="D7" s="33" t="s">
        <v>24</v>
      </c>
      <c r="E7" s="37" t="s">
        <v>41</v>
      </c>
      <c r="F7" s="37" t="s">
        <v>36</v>
      </c>
      <c r="G7" s="38" t="s">
        <v>37</v>
      </c>
      <c r="H7" s="33" t="s">
        <v>29</v>
      </c>
      <c r="I7" s="33" t="s">
        <v>30</v>
      </c>
      <c r="J7" s="38" t="s">
        <v>31</v>
      </c>
      <c r="K7" s="38" t="s">
        <v>38</v>
      </c>
      <c r="L7" s="38" t="s">
        <v>25</v>
      </c>
      <c r="M7" s="37">
        <v>2000</v>
      </c>
      <c r="N7" s="38">
        <v>570</v>
      </c>
      <c r="O7" s="38">
        <v>650</v>
      </c>
      <c r="P7" s="38">
        <v>750</v>
      </c>
      <c r="Q7" s="38">
        <v>860</v>
      </c>
      <c r="R7" s="38">
        <v>990</v>
      </c>
      <c r="S7" s="38">
        <v>1150</v>
      </c>
      <c r="T7" s="38">
        <v>1300</v>
      </c>
      <c r="U7" s="38">
        <v>1500</v>
      </c>
      <c r="V7" s="38">
        <v>1740</v>
      </c>
      <c r="W7" s="38">
        <v>2000</v>
      </c>
    </row>
    <row r="8" s="1" customFormat="1" ht="54" customHeight="1" spans="1:23">
      <c r="A8" s="39" t="s">
        <v>42</v>
      </c>
      <c r="B8" s="40" t="s">
        <v>43</v>
      </c>
      <c r="C8" s="40" t="s">
        <v>25</v>
      </c>
      <c r="D8" s="40" t="s">
        <v>43</v>
      </c>
      <c r="E8" s="39" t="s">
        <v>44</v>
      </c>
      <c r="F8" s="39" t="s">
        <v>45</v>
      </c>
      <c r="G8" s="40" t="s">
        <v>46</v>
      </c>
      <c r="H8" s="40" t="s">
        <v>29</v>
      </c>
      <c r="I8" s="40" t="s">
        <v>30</v>
      </c>
      <c r="J8" s="54" t="s">
        <v>31</v>
      </c>
      <c r="K8" s="54" t="s">
        <v>31</v>
      </c>
      <c r="L8" s="40">
        <v>39.2</v>
      </c>
      <c r="M8" s="39">
        <v>8</v>
      </c>
      <c r="N8" s="40">
        <v>27</v>
      </c>
      <c r="O8" s="40">
        <v>22</v>
      </c>
      <c r="P8" s="40">
        <v>19</v>
      </c>
      <c r="Q8" s="40">
        <v>17</v>
      </c>
      <c r="R8" s="40">
        <v>11</v>
      </c>
      <c r="S8" s="40">
        <v>8</v>
      </c>
      <c r="T8" s="40">
        <v>8</v>
      </c>
      <c r="U8" s="40">
        <v>8</v>
      </c>
      <c r="V8" s="40">
        <v>8</v>
      </c>
      <c r="W8" s="40">
        <v>8</v>
      </c>
    </row>
    <row r="9" s="1" customFormat="1" ht="64" customHeight="1" spans="1:23">
      <c r="A9" s="39" t="s">
        <v>42</v>
      </c>
      <c r="B9" s="40" t="s">
        <v>43</v>
      </c>
      <c r="C9" s="40" t="s">
        <v>25</v>
      </c>
      <c r="D9" s="40" t="s">
        <v>43</v>
      </c>
      <c r="E9" s="39" t="s">
        <v>47</v>
      </c>
      <c r="F9" s="39" t="s">
        <v>48</v>
      </c>
      <c r="G9" s="40" t="s">
        <v>46</v>
      </c>
      <c r="H9" s="40" t="s">
        <v>29</v>
      </c>
      <c r="I9" s="40" t="s">
        <v>30</v>
      </c>
      <c r="J9" s="54" t="s">
        <v>31</v>
      </c>
      <c r="K9" s="54" t="s">
        <v>31</v>
      </c>
      <c r="L9" s="40">
        <v>74.7</v>
      </c>
      <c r="M9" s="39">
        <v>8</v>
      </c>
      <c r="N9" s="40">
        <v>50</v>
      </c>
      <c r="O9" s="40">
        <v>50</v>
      </c>
      <c r="P9" s="40">
        <v>45</v>
      </c>
      <c r="Q9" s="40">
        <v>41</v>
      </c>
      <c r="R9" s="40">
        <v>32</v>
      </c>
      <c r="S9" s="40">
        <v>26</v>
      </c>
      <c r="T9" s="40">
        <v>21</v>
      </c>
      <c r="U9" s="40">
        <v>17</v>
      </c>
      <c r="V9" s="40">
        <v>14</v>
      </c>
      <c r="W9" s="40">
        <v>8</v>
      </c>
    </row>
    <row r="10" s="20" customFormat="1" ht="67.5" spans="1:23">
      <c r="A10" s="32" t="s">
        <v>49</v>
      </c>
      <c r="B10" s="33" t="s">
        <v>50</v>
      </c>
      <c r="C10" s="33" t="s">
        <v>25</v>
      </c>
      <c r="D10" s="33" t="s">
        <v>50</v>
      </c>
      <c r="E10" s="32" t="s">
        <v>51</v>
      </c>
      <c r="F10" s="43" t="s">
        <v>52</v>
      </c>
      <c r="G10" s="44" t="s">
        <v>53</v>
      </c>
      <c r="H10" s="33" t="s">
        <v>29</v>
      </c>
      <c r="I10" s="33" t="s">
        <v>30</v>
      </c>
      <c r="J10" s="38" t="s">
        <v>54</v>
      </c>
      <c r="K10" s="33" t="s">
        <v>25</v>
      </c>
      <c r="L10" s="33" t="s">
        <v>55</v>
      </c>
      <c r="M10" s="32" t="s">
        <v>56</v>
      </c>
      <c r="N10" s="33" t="s">
        <v>57</v>
      </c>
      <c r="O10" s="33" t="s">
        <v>51</v>
      </c>
      <c r="P10" s="33" t="s">
        <v>57</v>
      </c>
      <c r="Q10" s="33" t="s">
        <v>57</v>
      </c>
      <c r="R10" s="33" t="s">
        <v>57</v>
      </c>
      <c r="S10" s="33"/>
      <c r="T10" s="33" t="s">
        <v>57</v>
      </c>
      <c r="U10" s="33" t="s">
        <v>57</v>
      </c>
      <c r="V10" s="33" t="s">
        <v>57</v>
      </c>
      <c r="W10" s="33" t="s">
        <v>57</v>
      </c>
    </row>
    <row r="11" s="20" customFormat="1" ht="67.5" spans="1:23">
      <c r="A11" s="32" t="s">
        <v>49</v>
      </c>
      <c r="B11" s="33" t="s">
        <v>50</v>
      </c>
      <c r="C11" s="33" t="s">
        <v>25</v>
      </c>
      <c r="D11" s="33" t="s">
        <v>50</v>
      </c>
      <c r="E11" s="32" t="s">
        <v>58</v>
      </c>
      <c r="F11" s="32" t="s">
        <v>59</v>
      </c>
      <c r="G11" s="44" t="s">
        <v>53</v>
      </c>
      <c r="H11" s="33" t="s">
        <v>29</v>
      </c>
      <c r="I11" s="33" t="s">
        <v>30</v>
      </c>
      <c r="J11" s="38" t="s">
        <v>54</v>
      </c>
      <c r="K11" s="33" t="s">
        <v>25</v>
      </c>
      <c r="L11" s="33" t="s">
        <v>55</v>
      </c>
      <c r="M11" s="32" t="s">
        <v>60</v>
      </c>
      <c r="N11" s="33" t="s">
        <v>57</v>
      </c>
      <c r="O11" s="33" t="s">
        <v>57</v>
      </c>
      <c r="P11" s="33" t="s">
        <v>57</v>
      </c>
      <c r="Q11" s="33" t="s">
        <v>61</v>
      </c>
      <c r="R11" s="33" t="s">
        <v>57</v>
      </c>
      <c r="S11" s="33" t="s">
        <v>57</v>
      </c>
      <c r="T11" s="33" t="s">
        <v>57</v>
      </c>
      <c r="U11" s="33" t="s">
        <v>57</v>
      </c>
      <c r="V11" s="33" t="s">
        <v>57</v>
      </c>
      <c r="W11" s="33" t="s">
        <v>57</v>
      </c>
    </row>
    <row r="12" s="20" customFormat="1" ht="67.5" spans="1:23">
      <c r="A12" s="32" t="s">
        <v>49</v>
      </c>
      <c r="B12" s="33" t="s">
        <v>50</v>
      </c>
      <c r="C12" s="33" t="s">
        <v>25</v>
      </c>
      <c r="D12" s="33" t="s">
        <v>50</v>
      </c>
      <c r="E12" s="32" t="s">
        <v>62</v>
      </c>
      <c r="F12" s="32" t="s">
        <v>63</v>
      </c>
      <c r="G12" s="44" t="s">
        <v>53</v>
      </c>
      <c r="H12" s="33" t="s">
        <v>29</v>
      </c>
      <c r="I12" s="33" t="s">
        <v>30</v>
      </c>
      <c r="J12" s="38" t="s">
        <v>54</v>
      </c>
      <c r="K12" s="33" t="s">
        <v>25</v>
      </c>
      <c r="L12" s="33" t="s">
        <v>55</v>
      </c>
      <c r="M12" s="32" t="s">
        <v>64</v>
      </c>
      <c r="N12" s="33" t="s">
        <v>57</v>
      </c>
      <c r="O12" s="33" t="s">
        <v>57</v>
      </c>
      <c r="P12" s="33" t="s">
        <v>57</v>
      </c>
      <c r="Q12" s="33" t="s">
        <v>57</v>
      </c>
      <c r="R12" s="33" t="s">
        <v>57</v>
      </c>
      <c r="S12" s="33" t="s">
        <v>65</v>
      </c>
      <c r="T12" s="33" t="s">
        <v>57</v>
      </c>
      <c r="U12" s="33" t="s">
        <v>57</v>
      </c>
      <c r="V12" s="33" t="s">
        <v>57</v>
      </c>
      <c r="W12" s="33" t="s">
        <v>57</v>
      </c>
    </row>
    <row r="13" s="1" customFormat="1" ht="78" customHeight="1" spans="1:23">
      <c r="A13" s="39" t="s">
        <v>66</v>
      </c>
      <c r="B13" s="40" t="s">
        <v>67</v>
      </c>
      <c r="C13" s="40" t="s">
        <v>68</v>
      </c>
      <c r="D13" s="40" t="s">
        <v>69</v>
      </c>
      <c r="E13" s="39" t="s">
        <v>70</v>
      </c>
      <c r="F13" s="39" t="s">
        <v>71</v>
      </c>
      <c r="G13" s="130" t="s">
        <v>72</v>
      </c>
      <c r="H13" s="46" t="s">
        <v>73</v>
      </c>
      <c r="I13" s="130"/>
      <c r="J13" s="47" t="s">
        <v>31</v>
      </c>
      <c r="K13" s="40" t="s">
        <v>54</v>
      </c>
      <c r="L13" s="40"/>
      <c r="M13" s="39"/>
      <c r="N13" s="40" t="s">
        <v>74</v>
      </c>
      <c r="O13" s="40" t="s">
        <v>74</v>
      </c>
      <c r="P13" s="40" t="s">
        <v>74</v>
      </c>
      <c r="Q13" s="40" t="s">
        <v>74</v>
      </c>
      <c r="R13" s="40" t="s">
        <v>74</v>
      </c>
      <c r="S13" s="40" t="s">
        <v>74</v>
      </c>
      <c r="T13" s="40" t="s">
        <v>74</v>
      </c>
      <c r="U13" s="40" t="s">
        <v>74</v>
      </c>
      <c r="V13" s="40" t="s">
        <v>74</v>
      </c>
      <c r="W13" s="40" t="s">
        <v>74</v>
      </c>
    </row>
    <row r="14" s="1" customFormat="1" ht="68" customHeight="1" spans="1:23">
      <c r="A14" s="39" t="s">
        <v>66</v>
      </c>
      <c r="B14" s="40" t="s">
        <v>67</v>
      </c>
      <c r="C14" s="40" t="s">
        <v>68</v>
      </c>
      <c r="D14" s="40" t="s">
        <v>69</v>
      </c>
      <c r="E14" s="39" t="s">
        <v>75</v>
      </c>
      <c r="F14" s="39" t="s">
        <v>76</v>
      </c>
      <c r="G14" s="130" t="s">
        <v>77</v>
      </c>
      <c r="H14" s="46" t="s">
        <v>73</v>
      </c>
      <c r="I14" s="130"/>
      <c r="J14" s="47" t="s">
        <v>31</v>
      </c>
      <c r="K14" s="40" t="s">
        <v>54</v>
      </c>
      <c r="L14" s="40"/>
      <c r="M14" s="39"/>
      <c r="N14" s="40" t="s">
        <v>78</v>
      </c>
      <c r="O14" s="40" t="s">
        <v>78</v>
      </c>
      <c r="P14" s="40" t="s">
        <v>78</v>
      </c>
      <c r="Q14" s="40" t="s">
        <v>78</v>
      </c>
      <c r="R14" s="40" t="s">
        <v>78</v>
      </c>
      <c r="S14" s="40" t="s">
        <v>78</v>
      </c>
      <c r="T14" s="40" t="s">
        <v>78</v>
      </c>
      <c r="U14" s="40" t="s">
        <v>78</v>
      </c>
      <c r="V14" s="40" t="s">
        <v>78</v>
      </c>
      <c r="W14" s="40" t="s">
        <v>78</v>
      </c>
    </row>
    <row r="15" s="1" customFormat="1" ht="62" customHeight="1" spans="1:23">
      <c r="A15" s="39" t="s">
        <v>66</v>
      </c>
      <c r="B15" s="40" t="s">
        <v>67</v>
      </c>
      <c r="C15" s="40" t="s">
        <v>79</v>
      </c>
      <c r="D15" s="40" t="s">
        <v>80</v>
      </c>
      <c r="E15" s="39" t="s">
        <v>81</v>
      </c>
      <c r="F15" s="39" t="s">
        <v>82</v>
      </c>
      <c r="G15" s="47" t="s">
        <v>83</v>
      </c>
      <c r="H15" s="47" t="s">
        <v>29</v>
      </c>
      <c r="I15" s="40" t="s">
        <v>30</v>
      </c>
      <c r="J15" s="54" t="s">
        <v>31</v>
      </c>
      <c r="K15" s="54" t="s">
        <v>31</v>
      </c>
      <c r="L15" s="48">
        <v>0.4</v>
      </c>
      <c r="M15" s="49">
        <v>0.1</v>
      </c>
      <c r="N15" s="50">
        <v>0.3</v>
      </c>
      <c r="O15" s="50">
        <v>0.25</v>
      </c>
      <c r="P15" s="50">
        <v>0.25</v>
      </c>
      <c r="Q15" s="50">
        <v>0.2</v>
      </c>
      <c r="R15" s="50">
        <v>0.2</v>
      </c>
      <c r="S15" s="50">
        <v>0.2</v>
      </c>
      <c r="T15" s="50">
        <v>0.15</v>
      </c>
      <c r="U15" s="50">
        <v>0.15</v>
      </c>
      <c r="V15" s="50">
        <v>0.15</v>
      </c>
      <c r="W15" s="50">
        <v>0.1</v>
      </c>
    </row>
    <row r="16" s="1" customFormat="1" ht="64" customHeight="1" spans="1:23">
      <c r="A16" s="39" t="s">
        <v>66</v>
      </c>
      <c r="B16" s="40" t="s">
        <v>67</v>
      </c>
      <c r="C16" s="40" t="s">
        <v>79</v>
      </c>
      <c r="D16" s="40" t="s">
        <v>80</v>
      </c>
      <c r="E16" s="39" t="s">
        <v>84</v>
      </c>
      <c r="F16" s="39" t="s">
        <v>85</v>
      </c>
      <c r="G16" s="47" t="s">
        <v>83</v>
      </c>
      <c r="H16" s="47"/>
      <c r="I16" s="40" t="s">
        <v>30</v>
      </c>
      <c r="J16" s="47" t="s">
        <v>31</v>
      </c>
      <c r="K16" s="40" t="s">
        <v>31</v>
      </c>
      <c r="L16" s="48">
        <v>0.4</v>
      </c>
      <c r="M16" s="49">
        <v>0.1</v>
      </c>
      <c r="N16" s="50">
        <v>0.3</v>
      </c>
      <c r="O16" s="50">
        <v>0.25</v>
      </c>
      <c r="P16" s="50">
        <v>0.25</v>
      </c>
      <c r="Q16" s="50">
        <v>0.2</v>
      </c>
      <c r="R16" s="50">
        <v>0.2</v>
      </c>
      <c r="S16" s="50">
        <v>0.2</v>
      </c>
      <c r="T16" s="50">
        <v>0.15</v>
      </c>
      <c r="U16" s="50">
        <v>0.15</v>
      </c>
      <c r="V16" s="50">
        <v>0.15</v>
      </c>
      <c r="W16" s="50">
        <v>0.1</v>
      </c>
    </row>
    <row r="17" s="1" customFormat="1" ht="65" customHeight="1" spans="1:23">
      <c r="A17" s="39" t="s">
        <v>66</v>
      </c>
      <c r="B17" s="40" t="s">
        <v>67</v>
      </c>
      <c r="C17" s="40" t="s">
        <v>79</v>
      </c>
      <c r="D17" s="40" t="s">
        <v>80</v>
      </c>
      <c r="E17" s="39" t="s">
        <v>86</v>
      </c>
      <c r="F17" s="39" t="s">
        <v>87</v>
      </c>
      <c r="G17" s="47" t="s">
        <v>83</v>
      </c>
      <c r="H17" s="47" t="s">
        <v>29</v>
      </c>
      <c r="I17" s="40" t="s">
        <v>30</v>
      </c>
      <c r="J17" s="47" t="s">
        <v>31</v>
      </c>
      <c r="K17" s="40" t="s">
        <v>31</v>
      </c>
      <c r="L17" s="48">
        <v>0.4109</v>
      </c>
      <c r="M17" s="49">
        <v>0.9</v>
      </c>
      <c r="N17" s="50">
        <v>0.6</v>
      </c>
      <c r="O17" s="50">
        <v>0.7</v>
      </c>
      <c r="P17" s="50">
        <v>0.75</v>
      </c>
      <c r="Q17" s="50">
        <v>0.8</v>
      </c>
      <c r="R17" s="50">
        <v>0.8</v>
      </c>
      <c r="S17" s="50">
        <v>0.8</v>
      </c>
      <c r="T17" s="50">
        <v>0.85</v>
      </c>
      <c r="U17" s="50">
        <v>0.85</v>
      </c>
      <c r="V17" s="50">
        <v>0.85</v>
      </c>
      <c r="W17" s="50">
        <v>0.9</v>
      </c>
    </row>
    <row r="18" s="1" customFormat="1" ht="55" customHeight="1" spans="1:23">
      <c r="A18" s="39" t="s">
        <v>66</v>
      </c>
      <c r="B18" s="40" t="s">
        <v>67</v>
      </c>
      <c r="C18" s="40" t="s">
        <v>88</v>
      </c>
      <c r="D18" s="40" t="s">
        <v>89</v>
      </c>
      <c r="E18" s="39" t="s">
        <v>90</v>
      </c>
      <c r="F18" s="39" t="s">
        <v>91</v>
      </c>
      <c r="G18" s="47" t="s">
        <v>92</v>
      </c>
      <c r="H18" s="47" t="s">
        <v>29</v>
      </c>
      <c r="I18" s="40" t="s">
        <v>30</v>
      </c>
      <c r="J18" s="47" t="s">
        <v>31</v>
      </c>
      <c r="K18" s="40" t="s">
        <v>54</v>
      </c>
      <c r="L18" s="40" t="s">
        <v>93</v>
      </c>
      <c r="M18" s="39" t="s">
        <v>94</v>
      </c>
      <c r="N18" s="40" t="s">
        <v>95</v>
      </c>
      <c r="O18" s="40" t="s">
        <v>95</v>
      </c>
      <c r="P18" s="40" t="s">
        <v>95</v>
      </c>
      <c r="Q18" s="40" t="s">
        <v>95</v>
      </c>
      <c r="R18" s="40" t="s">
        <v>95</v>
      </c>
      <c r="S18" s="40" t="s">
        <v>95</v>
      </c>
      <c r="T18" s="40" t="s">
        <v>95</v>
      </c>
      <c r="U18" s="40" t="s">
        <v>95</v>
      </c>
      <c r="V18" s="40" t="s">
        <v>95</v>
      </c>
      <c r="W18" s="40" t="s">
        <v>95</v>
      </c>
    </row>
    <row r="19" s="1" customFormat="1" ht="52" customHeight="1" spans="1:23">
      <c r="A19" s="39" t="s">
        <v>66</v>
      </c>
      <c r="B19" s="40" t="s">
        <v>67</v>
      </c>
      <c r="C19" s="40" t="s">
        <v>96</v>
      </c>
      <c r="D19" s="40" t="s">
        <v>67</v>
      </c>
      <c r="E19" s="39" t="s">
        <v>97</v>
      </c>
      <c r="F19" s="39" t="s">
        <v>98</v>
      </c>
      <c r="G19" s="47" t="s">
        <v>99</v>
      </c>
      <c r="H19" s="47" t="s">
        <v>29</v>
      </c>
      <c r="I19" s="40" t="s">
        <v>30</v>
      </c>
      <c r="J19" s="47" t="s">
        <v>31</v>
      </c>
      <c r="K19" s="40" t="s">
        <v>54</v>
      </c>
      <c r="L19" s="51">
        <v>0.806</v>
      </c>
      <c r="M19" s="49">
        <v>0.98</v>
      </c>
      <c r="N19" s="50">
        <v>0.85</v>
      </c>
      <c r="O19" s="50">
        <v>0.85</v>
      </c>
      <c r="P19" s="50">
        <v>0.85</v>
      </c>
      <c r="Q19" s="50">
        <v>0.85</v>
      </c>
      <c r="R19" s="50">
        <v>0.9</v>
      </c>
      <c r="S19" s="50">
        <v>0.9</v>
      </c>
      <c r="T19" s="50">
        <v>0.9</v>
      </c>
      <c r="U19" s="50">
        <v>0.98</v>
      </c>
      <c r="V19" s="50">
        <v>0.98</v>
      </c>
      <c r="W19" s="50">
        <v>0.98</v>
      </c>
    </row>
    <row r="20" s="1" customFormat="1" ht="52" customHeight="1" spans="1:23">
      <c r="A20" s="39" t="s">
        <v>66</v>
      </c>
      <c r="B20" s="40" t="s">
        <v>67</v>
      </c>
      <c r="C20" s="40" t="s">
        <v>96</v>
      </c>
      <c r="D20" s="40" t="s">
        <v>67</v>
      </c>
      <c r="E20" s="39" t="s">
        <v>100</v>
      </c>
      <c r="F20" s="39" t="s">
        <v>101</v>
      </c>
      <c r="G20" s="47" t="s">
        <v>99</v>
      </c>
      <c r="H20" s="47" t="s">
        <v>29</v>
      </c>
      <c r="I20" s="40" t="s">
        <v>30</v>
      </c>
      <c r="J20" s="47" t="s">
        <v>31</v>
      </c>
      <c r="K20" s="40" t="s">
        <v>54</v>
      </c>
      <c r="L20" s="51">
        <v>0.8042</v>
      </c>
      <c r="M20" s="49">
        <v>0.98</v>
      </c>
      <c r="N20" s="50">
        <v>0.85</v>
      </c>
      <c r="O20" s="50">
        <v>0.85</v>
      </c>
      <c r="P20" s="50">
        <v>0.85</v>
      </c>
      <c r="Q20" s="50">
        <v>0.85</v>
      </c>
      <c r="R20" s="50">
        <v>0.9</v>
      </c>
      <c r="S20" s="50">
        <v>0.9</v>
      </c>
      <c r="T20" s="50">
        <v>0.9</v>
      </c>
      <c r="U20" s="50">
        <v>0.98</v>
      </c>
      <c r="V20" s="50">
        <v>0.98</v>
      </c>
      <c r="W20" s="50">
        <v>0.98</v>
      </c>
    </row>
    <row r="21" s="1" customFormat="1" ht="51" customHeight="1" spans="1:23">
      <c r="A21" s="39" t="s">
        <v>66</v>
      </c>
      <c r="B21" s="40" t="s">
        <v>67</v>
      </c>
      <c r="C21" s="40" t="s">
        <v>96</v>
      </c>
      <c r="D21" s="40" t="s">
        <v>67</v>
      </c>
      <c r="E21" s="39" t="s">
        <v>102</v>
      </c>
      <c r="F21" s="39" t="s">
        <v>103</v>
      </c>
      <c r="G21" s="47" t="s">
        <v>99</v>
      </c>
      <c r="H21" s="47" t="s">
        <v>29</v>
      </c>
      <c r="I21" s="40" t="s">
        <v>30</v>
      </c>
      <c r="J21" s="47" t="s">
        <v>31</v>
      </c>
      <c r="K21" s="40" t="s">
        <v>54</v>
      </c>
      <c r="L21" s="52">
        <v>0.75</v>
      </c>
      <c r="M21" s="49">
        <v>0.98</v>
      </c>
      <c r="N21" s="50">
        <v>0.85</v>
      </c>
      <c r="O21" s="50">
        <v>0.85</v>
      </c>
      <c r="P21" s="50">
        <v>0.85</v>
      </c>
      <c r="Q21" s="50">
        <v>0.85</v>
      </c>
      <c r="R21" s="50">
        <v>0.9</v>
      </c>
      <c r="S21" s="50">
        <v>0.9</v>
      </c>
      <c r="T21" s="50">
        <v>0.9</v>
      </c>
      <c r="U21" s="50">
        <v>0.98</v>
      </c>
      <c r="V21" s="50">
        <v>0.98</v>
      </c>
      <c r="W21" s="50">
        <v>0.98</v>
      </c>
    </row>
    <row r="22" s="1" customFormat="1" ht="62" customHeight="1" spans="1:23">
      <c r="A22" s="39" t="s">
        <v>66</v>
      </c>
      <c r="B22" s="40" t="s">
        <v>67</v>
      </c>
      <c r="C22" s="40" t="s">
        <v>96</v>
      </c>
      <c r="D22" s="40" t="s">
        <v>67</v>
      </c>
      <c r="E22" s="39" t="s">
        <v>104</v>
      </c>
      <c r="F22" s="39" t="s">
        <v>105</v>
      </c>
      <c r="G22" s="47" t="s">
        <v>99</v>
      </c>
      <c r="H22" s="47" t="s">
        <v>29</v>
      </c>
      <c r="I22" s="40" t="s">
        <v>30</v>
      </c>
      <c r="J22" s="47" t="s">
        <v>31</v>
      </c>
      <c r="K22" s="40" t="s">
        <v>54</v>
      </c>
      <c r="L22" s="47" t="s">
        <v>25</v>
      </c>
      <c r="M22" s="49">
        <v>0.03</v>
      </c>
      <c r="N22" s="50">
        <v>0.07</v>
      </c>
      <c r="O22" s="50">
        <v>0.07</v>
      </c>
      <c r="P22" s="50">
        <v>0.07</v>
      </c>
      <c r="Q22" s="50">
        <v>0.07</v>
      </c>
      <c r="R22" s="50">
        <v>0.05</v>
      </c>
      <c r="S22" s="50">
        <v>0.05</v>
      </c>
      <c r="T22" s="50">
        <v>0.05</v>
      </c>
      <c r="U22" s="50">
        <v>0.03</v>
      </c>
      <c r="V22" s="50">
        <v>0.03</v>
      </c>
      <c r="W22" s="50">
        <v>0.03</v>
      </c>
    </row>
    <row r="23" s="1" customFormat="1" ht="62" customHeight="1" spans="1:23">
      <c r="A23" s="39" t="s">
        <v>66</v>
      </c>
      <c r="B23" s="40" t="s">
        <v>67</v>
      </c>
      <c r="C23" s="40" t="s">
        <v>96</v>
      </c>
      <c r="D23" s="40" t="s">
        <v>67</v>
      </c>
      <c r="E23" s="39" t="s">
        <v>106</v>
      </c>
      <c r="F23" s="39" t="s">
        <v>105</v>
      </c>
      <c r="G23" s="47" t="s">
        <v>99</v>
      </c>
      <c r="H23" s="47" t="s">
        <v>29</v>
      </c>
      <c r="I23" s="40" t="s">
        <v>30</v>
      </c>
      <c r="J23" s="47" t="s">
        <v>31</v>
      </c>
      <c r="K23" s="40" t="s">
        <v>54</v>
      </c>
      <c r="L23" s="47" t="s">
        <v>25</v>
      </c>
      <c r="M23" s="49">
        <v>0.03</v>
      </c>
      <c r="N23" s="50">
        <v>0.07</v>
      </c>
      <c r="O23" s="50">
        <v>0.07</v>
      </c>
      <c r="P23" s="50">
        <v>0.07</v>
      </c>
      <c r="Q23" s="50">
        <v>0.07</v>
      </c>
      <c r="R23" s="50">
        <v>0.05</v>
      </c>
      <c r="S23" s="50">
        <v>0.05</v>
      </c>
      <c r="T23" s="50">
        <v>0.05</v>
      </c>
      <c r="U23" s="50">
        <v>0.03</v>
      </c>
      <c r="V23" s="50">
        <v>0.03</v>
      </c>
      <c r="W23" s="50">
        <v>0.03</v>
      </c>
    </row>
    <row r="24" s="1" customFormat="1" ht="63" customHeight="1" spans="1:23">
      <c r="A24" s="39" t="s">
        <v>66</v>
      </c>
      <c r="B24" s="40" t="s">
        <v>67</v>
      </c>
      <c r="C24" s="40" t="s">
        <v>96</v>
      </c>
      <c r="D24" s="40" t="s">
        <v>67</v>
      </c>
      <c r="E24" s="39" t="s">
        <v>107</v>
      </c>
      <c r="F24" s="39" t="s">
        <v>108</v>
      </c>
      <c r="G24" s="47" t="s">
        <v>99</v>
      </c>
      <c r="H24" s="47" t="s">
        <v>29</v>
      </c>
      <c r="I24" s="40" t="s">
        <v>30</v>
      </c>
      <c r="J24" s="47" t="s">
        <v>31</v>
      </c>
      <c r="K24" s="40" t="s">
        <v>54</v>
      </c>
      <c r="L24" s="47" t="s">
        <v>25</v>
      </c>
      <c r="M24" s="49">
        <v>0.03</v>
      </c>
      <c r="N24" s="50">
        <v>0.07</v>
      </c>
      <c r="O24" s="50">
        <v>0.07</v>
      </c>
      <c r="P24" s="50">
        <v>0.07</v>
      </c>
      <c r="Q24" s="50">
        <v>0.07</v>
      </c>
      <c r="R24" s="50">
        <v>0.05</v>
      </c>
      <c r="S24" s="50">
        <v>0.05</v>
      </c>
      <c r="T24" s="50">
        <v>0.05</v>
      </c>
      <c r="U24" s="50">
        <v>0.03</v>
      </c>
      <c r="V24" s="50">
        <v>0.03</v>
      </c>
      <c r="W24" s="50">
        <v>0.03</v>
      </c>
    </row>
    <row r="25" s="1" customFormat="1" ht="80" customHeight="1" spans="1:23">
      <c r="A25" s="39" t="s">
        <v>66</v>
      </c>
      <c r="B25" s="40" t="s">
        <v>67</v>
      </c>
      <c r="C25" s="40" t="s">
        <v>109</v>
      </c>
      <c r="D25" s="40" t="s">
        <v>43</v>
      </c>
      <c r="E25" s="39" t="s">
        <v>110</v>
      </c>
      <c r="F25" s="53" t="s">
        <v>111</v>
      </c>
      <c r="G25" s="54" t="s">
        <v>112</v>
      </c>
      <c r="H25" s="46" t="s">
        <v>73</v>
      </c>
      <c r="I25" s="54"/>
      <c r="J25" s="47" t="s">
        <v>31</v>
      </c>
      <c r="K25" s="40" t="s">
        <v>54</v>
      </c>
      <c r="L25" s="46" t="s">
        <v>113</v>
      </c>
      <c r="M25" s="49">
        <v>0.95</v>
      </c>
      <c r="N25" s="50">
        <v>0.85</v>
      </c>
      <c r="O25" s="50">
        <v>0.85</v>
      </c>
      <c r="P25" s="50">
        <v>0.85</v>
      </c>
      <c r="Q25" s="50">
        <v>0.85</v>
      </c>
      <c r="R25" s="50">
        <v>0.9</v>
      </c>
      <c r="S25" s="50">
        <v>0.9</v>
      </c>
      <c r="T25" s="50">
        <v>0.9</v>
      </c>
      <c r="U25" s="50">
        <v>0.9</v>
      </c>
      <c r="V25" s="50">
        <v>0.95</v>
      </c>
      <c r="W25" s="50">
        <v>0.95</v>
      </c>
    </row>
    <row r="26" s="1" customFormat="1" ht="62" customHeight="1" spans="1:23">
      <c r="A26" s="39" t="s">
        <v>66</v>
      </c>
      <c r="B26" s="40" t="s">
        <v>67</v>
      </c>
      <c r="C26" s="40" t="s">
        <v>109</v>
      </c>
      <c r="D26" s="40" t="s">
        <v>43</v>
      </c>
      <c r="E26" s="39" t="s">
        <v>114</v>
      </c>
      <c r="F26" s="53" t="s">
        <v>115</v>
      </c>
      <c r="G26" s="54" t="s">
        <v>112</v>
      </c>
      <c r="H26" s="46" t="s">
        <v>73</v>
      </c>
      <c r="I26" s="54"/>
      <c r="J26" s="47" t="s">
        <v>31</v>
      </c>
      <c r="K26" s="40" t="s">
        <v>54</v>
      </c>
      <c r="L26" s="46" t="s">
        <v>113</v>
      </c>
      <c r="M26" s="39">
        <v>48</v>
      </c>
      <c r="N26" s="40" t="s">
        <v>116</v>
      </c>
      <c r="O26" s="40" t="s">
        <v>116</v>
      </c>
      <c r="P26" s="40" t="s">
        <v>116</v>
      </c>
      <c r="Q26" s="40" t="s">
        <v>116</v>
      </c>
      <c r="R26" s="40" t="s">
        <v>117</v>
      </c>
      <c r="S26" s="40" t="s">
        <v>117</v>
      </c>
      <c r="T26" s="40" t="s">
        <v>117</v>
      </c>
      <c r="U26" s="40" t="s">
        <v>117</v>
      </c>
      <c r="V26" s="40" t="s">
        <v>117</v>
      </c>
      <c r="W26" s="40" t="s">
        <v>117</v>
      </c>
    </row>
    <row r="27" s="1" customFormat="1" ht="62" customHeight="1" spans="1:23">
      <c r="A27" s="39" t="s">
        <v>66</v>
      </c>
      <c r="B27" s="40" t="s">
        <v>67</v>
      </c>
      <c r="C27" s="40" t="s">
        <v>109</v>
      </c>
      <c r="D27" s="40" t="s">
        <v>43</v>
      </c>
      <c r="E27" s="39" t="s">
        <v>118</v>
      </c>
      <c r="F27" s="53" t="s">
        <v>119</v>
      </c>
      <c r="G27" s="54" t="s">
        <v>112</v>
      </c>
      <c r="H27" s="46" t="s">
        <v>73</v>
      </c>
      <c r="I27" s="54"/>
      <c r="J27" s="47" t="s">
        <v>31</v>
      </c>
      <c r="K27" s="40" t="s">
        <v>54</v>
      </c>
      <c r="L27" s="46" t="s">
        <v>113</v>
      </c>
      <c r="M27" s="39">
        <v>72</v>
      </c>
      <c r="N27" s="40" t="s">
        <v>120</v>
      </c>
      <c r="O27" s="40" t="s">
        <v>120</v>
      </c>
      <c r="P27" s="40" t="s">
        <v>120</v>
      </c>
      <c r="Q27" s="40" t="s">
        <v>120</v>
      </c>
      <c r="R27" s="40" t="s">
        <v>121</v>
      </c>
      <c r="S27" s="40" t="s">
        <v>121</v>
      </c>
      <c r="T27" s="40" t="s">
        <v>121</v>
      </c>
      <c r="U27" s="40" t="s">
        <v>121</v>
      </c>
      <c r="V27" s="40" t="s">
        <v>116</v>
      </c>
      <c r="W27" s="40" t="s">
        <v>116</v>
      </c>
    </row>
    <row r="28" s="1" customFormat="1" ht="62" customHeight="1" spans="1:23">
      <c r="A28" s="39" t="s">
        <v>66</v>
      </c>
      <c r="B28" s="40" t="s">
        <v>67</v>
      </c>
      <c r="C28" s="40" t="s">
        <v>109</v>
      </c>
      <c r="D28" s="40" t="s">
        <v>43</v>
      </c>
      <c r="E28" s="39" t="s">
        <v>122</v>
      </c>
      <c r="F28" s="53" t="s">
        <v>123</v>
      </c>
      <c r="G28" s="54" t="s">
        <v>112</v>
      </c>
      <c r="H28" s="46" t="s">
        <v>73</v>
      </c>
      <c r="I28" s="54"/>
      <c r="J28" s="47" t="s">
        <v>31</v>
      </c>
      <c r="K28" s="40" t="s">
        <v>54</v>
      </c>
      <c r="L28" s="46" t="s">
        <v>113</v>
      </c>
      <c r="M28" s="39">
        <v>48</v>
      </c>
      <c r="N28" s="40" t="s">
        <v>120</v>
      </c>
      <c r="O28" s="40" t="s">
        <v>120</v>
      </c>
      <c r="P28" s="40" t="s">
        <v>120</v>
      </c>
      <c r="Q28" s="40" t="s">
        <v>120</v>
      </c>
      <c r="R28" s="40" t="s">
        <v>116</v>
      </c>
      <c r="S28" s="40" t="s">
        <v>116</v>
      </c>
      <c r="T28" s="40" t="s">
        <v>116</v>
      </c>
      <c r="U28" s="40" t="s">
        <v>116</v>
      </c>
      <c r="V28" s="40" t="s">
        <v>117</v>
      </c>
      <c r="W28" s="40" t="s">
        <v>117</v>
      </c>
    </row>
    <row r="29" s="1" customFormat="1" ht="62" customHeight="1" spans="1:23">
      <c r="A29" s="39" t="s">
        <v>66</v>
      </c>
      <c r="B29" s="40" t="s">
        <v>67</v>
      </c>
      <c r="C29" s="40" t="s">
        <v>109</v>
      </c>
      <c r="D29" s="40" t="s">
        <v>43</v>
      </c>
      <c r="E29" s="39" t="s">
        <v>124</v>
      </c>
      <c r="F29" s="53" t="s">
        <v>119</v>
      </c>
      <c r="G29" s="54" t="s">
        <v>112</v>
      </c>
      <c r="H29" s="46" t="s">
        <v>73</v>
      </c>
      <c r="I29" s="54"/>
      <c r="J29" s="47" t="s">
        <v>31</v>
      </c>
      <c r="K29" s="40" t="s">
        <v>54</v>
      </c>
      <c r="L29" s="46" t="s">
        <v>113</v>
      </c>
      <c r="M29" s="39">
        <v>72</v>
      </c>
      <c r="N29" s="40" t="s">
        <v>120</v>
      </c>
      <c r="O29" s="40" t="s">
        <v>120</v>
      </c>
      <c r="P29" s="40" t="s">
        <v>120</v>
      </c>
      <c r="Q29" s="40" t="s">
        <v>120</v>
      </c>
      <c r="R29" s="40" t="s">
        <v>121</v>
      </c>
      <c r="S29" s="40" t="s">
        <v>121</v>
      </c>
      <c r="T29" s="40" t="s">
        <v>121</v>
      </c>
      <c r="U29" s="40" t="s">
        <v>121</v>
      </c>
      <c r="V29" s="40" t="s">
        <v>116</v>
      </c>
      <c r="W29" s="40" t="s">
        <v>116</v>
      </c>
    </row>
    <row r="30" s="20" customFormat="1" ht="62" customHeight="1" spans="1:23">
      <c r="A30" s="37" t="s">
        <v>125</v>
      </c>
      <c r="B30" s="38" t="s">
        <v>69</v>
      </c>
      <c r="C30" s="38" t="s">
        <v>126</v>
      </c>
      <c r="D30" s="38" t="s">
        <v>69</v>
      </c>
      <c r="E30" s="37" t="s">
        <v>127</v>
      </c>
      <c r="F30" s="37" t="s">
        <v>128</v>
      </c>
      <c r="G30" s="38" t="s">
        <v>129</v>
      </c>
      <c r="H30" s="38" t="s">
        <v>29</v>
      </c>
      <c r="I30" s="38" t="s">
        <v>130</v>
      </c>
      <c r="J30" s="38" t="s">
        <v>31</v>
      </c>
      <c r="K30" s="38" t="s">
        <v>54</v>
      </c>
      <c r="L30" s="38"/>
      <c r="M30" s="37"/>
      <c r="N30" s="38" t="s">
        <v>131</v>
      </c>
      <c r="O30" s="38" t="s">
        <v>132</v>
      </c>
      <c r="P30" s="38" t="s">
        <v>133</v>
      </c>
      <c r="Q30" s="38" t="s">
        <v>134</v>
      </c>
      <c r="R30" s="38" t="s">
        <v>135</v>
      </c>
      <c r="S30" s="38" t="s">
        <v>136</v>
      </c>
      <c r="T30" s="38" t="s">
        <v>137</v>
      </c>
      <c r="U30" s="38" t="s">
        <v>138</v>
      </c>
      <c r="V30" s="38" t="s">
        <v>139</v>
      </c>
      <c r="W30" s="38" t="s">
        <v>140</v>
      </c>
    </row>
    <row r="31" s="20" customFormat="1" ht="78" customHeight="1" spans="1:23">
      <c r="A31" s="37" t="s">
        <v>125</v>
      </c>
      <c r="B31" s="38" t="s">
        <v>69</v>
      </c>
      <c r="C31" s="38" t="s">
        <v>126</v>
      </c>
      <c r="D31" s="38" t="s">
        <v>69</v>
      </c>
      <c r="E31" s="37" t="s">
        <v>141</v>
      </c>
      <c r="F31" s="37" t="s">
        <v>142</v>
      </c>
      <c r="G31" s="38" t="s">
        <v>143</v>
      </c>
      <c r="H31" s="38" t="s">
        <v>29</v>
      </c>
      <c r="I31" s="38"/>
      <c r="J31" s="38" t="s">
        <v>31</v>
      </c>
      <c r="K31" s="38" t="s">
        <v>54</v>
      </c>
      <c r="L31" s="38"/>
      <c r="M31" s="37"/>
      <c r="N31" s="38" t="s">
        <v>144</v>
      </c>
      <c r="O31" s="38" t="s">
        <v>144</v>
      </c>
      <c r="P31" s="38" t="s">
        <v>144</v>
      </c>
      <c r="Q31" s="38" t="s">
        <v>144</v>
      </c>
      <c r="R31" s="38" t="s">
        <v>144</v>
      </c>
      <c r="S31" s="38" t="s">
        <v>144</v>
      </c>
      <c r="T31" s="38" t="s">
        <v>144</v>
      </c>
      <c r="U31" s="38" t="s">
        <v>144</v>
      </c>
      <c r="V31" s="38" t="s">
        <v>144</v>
      </c>
      <c r="W31" s="38" t="s">
        <v>144</v>
      </c>
    </row>
    <row r="32" s="20" customFormat="1" ht="53" customHeight="1" spans="1:23">
      <c r="A32" s="37" t="s">
        <v>125</v>
      </c>
      <c r="B32" s="38" t="s">
        <v>69</v>
      </c>
      <c r="C32" s="38" t="s">
        <v>126</v>
      </c>
      <c r="D32" s="38" t="s">
        <v>69</v>
      </c>
      <c r="E32" s="37" t="s">
        <v>145</v>
      </c>
      <c r="F32" s="37" t="s">
        <v>146</v>
      </c>
      <c r="G32" s="38" t="s">
        <v>147</v>
      </c>
      <c r="H32" s="55" t="s">
        <v>73</v>
      </c>
      <c r="I32" s="38"/>
      <c r="J32" s="38" t="s">
        <v>31</v>
      </c>
      <c r="K32" s="38" t="s">
        <v>54</v>
      </c>
      <c r="L32" s="38"/>
      <c r="M32" s="37"/>
      <c r="N32" s="38" t="s">
        <v>148</v>
      </c>
      <c r="O32" s="38" t="s">
        <v>148</v>
      </c>
      <c r="P32" s="38" t="s">
        <v>148</v>
      </c>
      <c r="Q32" s="38" t="s">
        <v>149</v>
      </c>
      <c r="R32" s="38" t="s">
        <v>149</v>
      </c>
      <c r="S32" s="38" t="s">
        <v>149</v>
      </c>
      <c r="T32" s="38" t="s">
        <v>149</v>
      </c>
      <c r="U32" s="38" t="s">
        <v>149</v>
      </c>
      <c r="V32" s="38" t="s">
        <v>149</v>
      </c>
      <c r="W32" s="38" t="s">
        <v>149</v>
      </c>
    </row>
    <row r="33" s="1" customFormat="1" ht="58" customHeight="1" spans="1:23">
      <c r="A33" s="66" t="s">
        <v>125</v>
      </c>
      <c r="B33" s="38" t="s">
        <v>69</v>
      </c>
      <c r="C33" s="38" t="s">
        <v>126</v>
      </c>
      <c r="D33" s="38" t="s">
        <v>69</v>
      </c>
      <c r="E33" s="66" t="s">
        <v>150</v>
      </c>
      <c r="F33" s="66" t="s">
        <v>151</v>
      </c>
      <c r="G33" s="131" t="s">
        <v>152</v>
      </c>
      <c r="H33" s="38" t="s">
        <v>29</v>
      </c>
      <c r="I33" s="131"/>
      <c r="J33" s="38" t="s">
        <v>31</v>
      </c>
      <c r="K33" s="38" t="s">
        <v>54</v>
      </c>
      <c r="L33" s="131"/>
      <c r="M33" s="66"/>
      <c r="N33" s="132">
        <v>0.1</v>
      </c>
      <c r="O33" s="132">
        <v>0.15</v>
      </c>
      <c r="P33" s="132">
        <v>0.25</v>
      </c>
      <c r="Q33" s="132">
        <v>0.35</v>
      </c>
      <c r="R33" s="132">
        <v>0.45</v>
      </c>
      <c r="S33" s="132">
        <v>0.55</v>
      </c>
      <c r="T33" s="132">
        <v>0.6</v>
      </c>
      <c r="U33" s="132">
        <v>0.65</v>
      </c>
      <c r="V33" s="132">
        <v>0.7</v>
      </c>
      <c r="W33" s="131" t="s">
        <v>153</v>
      </c>
    </row>
    <row r="34" s="1" customFormat="1" ht="45" spans="1:23">
      <c r="A34" s="66" t="s">
        <v>125</v>
      </c>
      <c r="B34" s="38" t="s">
        <v>43</v>
      </c>
      <c r="C34" s="38" t="s">
        <v>154</v>
      </c>
      <c r="D34" s="38" t="s">
        <v>43</v>
      </c>
      <c r="E34" s="66" t="s">
        <v>155</v>
      </c>
      <c r="F34" s="66" t="s">
        <v>156</v>
      </c>
      <c r="G34" s="131" t="s">
        <v>157</v>
      </c>
      <c r="H34" s="38" t="s">
        <v>29</v>
      </c>
      <c r="I34" s="131"/>
      <c r="J34" s="38" t="s">
        <v>31</v>
      </c>
      <c r="K34" s="38" t="s">
        <v>54</v>
      </c>
      <c r="L34" s="131"/>
      <c r="M34" s="66"/>
      <c r="N34" s="131" t="s">
        <v>25</v>
      </c>
      <c r="O34" s="131" t="s">
        <v>25</v>
      </c>
      <c r="P34" s="131" t="s">
        <v>25</v>
      </c>
      <c r="Q34" s="131" t="s">
        <v>158</v>
      </c>
      <c r="R34" s="131" t="s">
        <v>159</v>
      </c>
      <c r="S34" s="131" t="s">
        <v>25</v>
      </c>
      <c r="T34" s="132">
        <v>0.3</v>
      </c>
      <c r="U34" s="132">
        <v>0.4</v>
      </c>
      <c r="V34" s="132">
        <v>0.5</v>
      </c>
      <c r="W34" s="131" t="s">
        <v>160</v>
      </c>
    </row>
    <row r="35" s="1" customFormat="1" ht="56.25" spans="1:23">
      <c r="A35" s="66" t="s">
        <v>125</v>
      </c>
      <c r="B35" s="38" t="s">
        <v>43</v>
      </c>
      <c r="C35" s="38" t="s">
        <v>154</v>
      </c>
      <c r="D35" s="38" t="s">
        <v>43</v>
      </c>
      <c r="E35" s="66" t="s">
        <v>161</v>
      </c>
      <c r="F35" s="66" t="s">
        <v>156</v>
      </c>
      <c r="G35" s="131" t="s">
        <v>157</v>
      </c>
      <c r="H35" s="38" t="s">
        <v>29</v>
      </c>
      <c r="I35" s="131"/>
      <c r="J35" s="38" t="s">
        <v>31</v>
      </c>
      <c r="K35" s="38" t="s">
        <v>54</v>
      </c>
      <c r="L35" s="131"/>
      <c r="M35" s="66"/>
      <c r="N35" s="131" t="s">
        <v>25</v>
      </c>
      <c r="O35" s="131" t="s">
        <v>25</v>
      </c>
      <c r="P35" s="131" t="s">
        <v>25</v>
      </c>
      <c r="Q35" s="131" t="s">
        <v>158</v>
      </c>
      <c r="R35" s="131" t="s">
        <v>25</v>
      </c>
      <c r="S35" s="131" t="s">
        <v>162</v>
      </c>
      <c r="T35" s="132">
        <v>0.1</v>
      </c>
      <c r="U35" s="132">
        <v>0.15</v>
      </c>
      <c r="V35" s="132">
        <v>0.25</v>
      </c>
      <c r="W35" s="131" t="s">
        <v>160</v>
      </c>
    </row>
    <row r="36" s="1" customFormat="1" ht="56" customHeight="1" spans="1:23">
      <c r="A36" s="39" t="s">
        <v>163</v>
      </c>
      <c r="B36" s="40" t="s">
        <v>69</v>
      </c>
      <c r="C36" s="40" t="s">
        <v>25</v>
      </c>
      <c r="D36" s="40" t="s">
        <v>69</v>
      </c>
      <c r="E36" s="39" t="s">
        <v>164</v>
      </c>
      <c r="F36" s="39" t="s">
        <v>165</v>
      </c>
      <c r="G36" s="47" t="s">
        <v>166</v>
      </c>
      <c r="H36" s="47" t="s">
        <v>29</v>
      </c>
      <c r="I36" s="47" t="s">
        <v>167</v>
      </c>
      <c r="J36" s="54" t="s">
        <v>31</v>
      </c>
      <c r="K36" s="54" t="s">
        <v>54</v>
      </c>
      <c r="L36" s="40"/>
      <c r="M36" s="39"/>
      <c r="N36" s="50">
        <v>0.3</v>
      </c>
      <c r="O36" s="50">
        <v>0.35</v>
      </c>
      <c r="P36" s="50">
        <v>0.37</v>
      </c>
      <c r="Q36" s="50">
        <v>0.4</v>
      </c>
      <c r="R36" s="50">
        <v>0.45</v>
      </c>
      <c r="S36" s="50">
        <v>0.45</v>
      </c>
      <c r="T36" s="50">
        <v>0.5</v>
      </c>
      <c r="U36" s="50">
        <v>0.52</v>
      </c>
      <c r="V36" s="50">
        <v>0.56</v>
      </c>
      <c r="W36" s="50">
        <v>0.6</v>
      </c>
    </row>
    <row r="37" s="1" customFormat="1" ht="60" customHeight="1" spans="1:23">
      <c r="A37" s="39" t="s">
        <v>163</v>
      </c>
      <c r="B37" s="40" t="s">
        <v>69</v>
      </c>
      <c r="C37" s="40" t="s">
        <v>25</v>
      </c>
      <c r="D37" s="40" t="s">
        <v>69</v>
      </c>
      <c r="E37" s="39" t="s">
        <v>168</v>
      </c>
      <c r="F37" s="53" t="s">
        <v>169</v>
      </c>
      <c r="G37" s="47" t="s">
        <v>166</v>
      </c>
      <c r="H37" s="47" t="s">
        <v>29</v>
      </c>
      <c r="I37" s="47" t="s">
        <v>167</v>
      </c>
      <c r="J37" s="54" t="s">
        <v>31</v>
      </c>
      <c r="K37" s="54" t="s">
        <v>54</v>
      </c>
      <c r="L37" s="40"/>
      <c r="M37" s="39"/>
      <c r="N37" s="40" t="s">
        <v>170</v>
      </c>
      <c r="O37" s="40" t="s">
        <v>171</v>
      </c>
      <c r="P37" s="40" t="s">
        <v>172</v>
      </c>
      <c r="Q37" s="40" t="s">
        <v>173</v>
      </c>
      <c r="R37" s="40" t="s">
        <v>174</v>
      </c>
      <c r="S37" s="40" t="s">
        <v>175</v>
      </c>
      <c r="T37" s="40" t="s">
        <v>176</v>
      </c>
      <c r="U37" s="40" t="s">
        <v>177</v>
      </c>
      <c r="V37" s="40" t="s">
        <v>178</v>
      </c>
      <c r="W37" s="40" t="s">
        <v>179</v>
      </c>
    </row>
    <row r="38" s="20" customFormat="1" ht="63" customHeight="1" spans="1:23">
      <c r="A38" s="32" t="s">
        <v>180</v>
      </c>
      <c r="B38" s="33" t="s">
        <v>181</v>
      </c>
      <c r="C38" s="33" t="s">
        <v>25</v>
      </c>
      <c r="D38" s="33" t="s">
        <v>181</v>
      </c>
      <c r="E38" s="32" t="s">
        <v>182</v>
      </c>
      <c r="F38" s="32" t="s">
        <v>183</v>
      </c>
      <c r="G38" s="44" t="s">
        <v>184</v>
      </c>
      <c r="H38" s="38" t="s">
        <v>29</v>
      </c>
      <c r="I38" s="44"/>
      <c r="J38" s="33" t="s">
        <v>31</v>
      </c>
      <c r="K38" s="33" t="s">
        <v>54</v>
      </c>
      <c r="L38" s="33">
        <v>0</v>
      </c>
      <c r="M38" s="32">
        <v>1750</v>
      </c>
      <c r="N38" s="33" t="s">
        <v>185</v>
      </c>
      <c r="O38" s="33" t="s">
        <v>186</v>
      </c>
      <c r="P38" s="33" t="s">
        <v>187</v>
      </c>
      <c r="Q38" s="33" t="s">
        <v>57</v>
      </c>
      <c r="R38" s="33" t="s">
        <v>57</v>
      </c>
      <c r="S38" s="33" t="s">
        <v>188</v>
      </c>
      <c r="T38" s="33" t="s">
        <v>57</v>
      </c>
      <c r="U38" s="33" t="s">
        <v>189</v>
      </c>
      <c r="V38" s="33" t="s">
        <v>57</v>
      </c>
      <c r="W38" s="33" t="s">
        <v>190</v>
      </c>
    </row>
    <row r="39" s="20" customFormat="1" ht="56.25" spans="1:23">
      <c r="A39" s="32" t="s">
        <v>180</v>
      </c>
      <c r="B39" s="33" t="s">
        <v>181</v>
      </c>
      <c r="C39" s="33" t="s">
        <v>25</v>
      </c>
      <c r="D39" s="33" t="s">
        <v>181</v>
      </c>
      <c r="E39" s="32" t="s">
        <v>191</v>
      </c>
      <c r="F39" s="32" t="s">
        <v>192</v>
      </c>
      <c r="G39" s="44" t="s">
        <v>193</v>
      </c>
      <c r="H39" s="38" t="s">
        <v>29</v>
      </c>
      <c r="I39" s="44"/>
      <c r="J39" s="33" t="s">
        <v>31</v>
      </c>
      <c r="K39" s="33" t="s">
        <v>54</v>
      </c>
      <c r="L39" s="33">
        <v>0</v>
      </c>
      <c r="M39" s="32">
        <v>3000</v>
      </c>
      <c r="N39" s="33" t="s">
        <v>57</v>
      </c>
      <c r="O39" s="33" t="s">
        <v>57</v>
      </c>
      <c r="P39" s="33" t="s">
        <v>194</v>
      </c>
      <c r="Q39" s="33" t="s">
        <v>195</v>
      </c>
      <c r="R39" s="33" t="s">
        <v>196</v>
      </c>
      <c r="S39" s="33" t="s">
        <v>57</v>
      </c>
      <c r="T39" s="33" t="s">
        <v>57</v>
      </c>
      <c r="U39" s="33" t="s">
        <v>57</v>
      </c>
      <c r="V39" s="55" t="s">
        <v>197</v>
      </c>
      <c r="W39" s="33" t="s">
        <v>198</v>
      </c>
    </row>
    <row r="40" s="1" customFormat="1" ht="51" customHeight="1" spans="1:23">
      <c r="A40" s="39" t="s">
        <v>199</v>
      </c>
      <c r="B40" s="40" t="s">
        <v>89</v>
      </c>
      <c r="C40" s="40" t="s">
        <v>200</v>
      </c>
      <c r="D40" s="40" t="s">
        <v>201</v>
      </c>
      <c r="E40" s="39" t="s">
        <v>202</v>
      </c>
      <c r="F40" s="39" t="s">
        <v>203</v>
      </c>
      <c r="G40" s="47" t="s">
        <v>204</v>
      </c>
      <c r="H40" s="47" t="s">
        <v>29</v>
      </c>
      <c r="I40" s="47" t="s">
        <v>30</v>
      </c>
      <c r="J40" s="47" t="s">
        <v>31</v>
      </c>
      <c r="K40" s="40" t="s">
        <v>54</v>
      </c>
      <c r="L40" s="48">
        <v>0.12</v>
      </c>
      <c r="M40" s="41">
        <v>0.85</v>
      </c>
      <c r="N40" s="48">
        <v>0.3</v>
      </c>
      <c r="O40" s="48">
        <v>0.45</v>
      </c>
      <c r="P40" s="48">
        <v>0.6</v>
      </c>
      <c r="Q40" s="48">
        <v>0.85</v>
      </c>
      <c r="R40" s="48" t="s">
        <v>57</v>
      </c>
      <c r="S40" s="48" t="s">
        <v>57</v>
      </c>
      <c r="T40" s="48" t="s">
        <v>57</v>
      </c>
      <c r="U40" s="48" t="s">
        <v>57</v>
      </c>
      <c r="V40" s="48" t="s">
        <v>57</v>
      </c>
      <c r="W40" s="48" t="s">
        <v>57</v>
      </c>
    </row>
    <row r="41" s="1" customFormat="1" ht="54" customHeight="1" spans="1:23">
      <c r="A41" s="39" t="s">
        <v>199</v>
      </c>
      <c r="B41" s="40" t="s">
        <v>89</v>
      </c>
      <c r="C41" s="40" t="s">
        <v>200</v>
      </c>
      <c r="D41" s="40" t="s">
        <v>201</v>
      </c>
      <c r="E41" s="39" t="s">
        <v>205</v>
      </c>
      <c r="F41" s="39" t="s">
        <v>206</v>
      </c>
      <c r="G41" s="47" t="s">
        <v>204</v>
      </c>
      <c r="H41" s="47" t="s">
        <v>29</v>
      </c>
      <c r="I41" s="47" t="s">
        <v>30</v>
      </c>
      <c r="J41" s="47" t="s">
        <v>31</v>
      </c>
      <c r="K41" s="40" t="s">
        <v>54</v>
      </c>
      <c r="L41" s="48">
        <v>0.23</v>
      </c>
      <c r="M41" s="41">
        <v>0.65</v>
      </c>
      <c r="N41" s="48">
        <v>0.25</v>
      </c>
      <c r="O41" s="48">
        <v>0.4</v>
      </c>
      <c r="P41" s="48">
        <v>0.5</v>
      </c>
      <c r="Q41" s="48">
        <v>0.65</v>
      </c>
      <c r="R41" s="48" t="s">
        <v>57</v>
      </c>
      <c r="S41" s="48" t="s">
        <v>57</v>
      </c>
      <c r="T41" s="48" t="s">
        <v>57</v>
      </c>
      <c r="U41" s="48" t="s">
        <v>57</v>
      </c>
      <c r="V41" s="48" t="s">
        <v>57</v>
      </c>
      <c r="W41" s="48" t="s">
        <v>57</v>
      </c>
    </row>
    <row r="42" s="1" customFormat="1" ht="64" customHeight="1" spans="1:23">
      <c r="A42" s="39" t="s">
        <v>199</v>
      </c>
      <c r="B42" s="40" t="s">
        <v>89</v>
      </c>
      <c r="C42" s="40" t="s">
        <v>207</v>
      </c>
      <c r="D42" s="40" t="s">
        <v>89</v>
      </c>
      <c r="E42" s="39" t="s">
        <v>208</v>
      </c>
      <c r="F42" s="39" t="s">
        <v>209</v>
      </c>
      <c r="G42" s="47" t="s">
        <v>210</v>
      </c>
      <c r="H42" s="47" t="s">
        <v>29</v>
      </c>
      <c r="I42" s="47" t="s">
        <v>30</v>
      </c>
      <c r="J42" s="47" t="s">
        <v>31</v>
      </c>
      <c r="K42" s="40" t="s">
        <v>54</v>
      </c>
      <c r="L42" s="40">
        <v>0</v>
      </c>
      <c r="M42" s="39">
        <v>10000</v>
      </c>
      <c r="N42" s="40">
        <v>1454</v>
      </c>
      <c r="O42" s="40">
        <v>1454</v>
      </c>
      <c r="P42" s="40">
        <v>8800.56</v>
      </c>
      <c r="Q42" s="40">
        <v>10180.33</v>
      </c>
      <c r="R42" s="40">
        <v>10000</v>
      </c>
      <c r="S42" s="40">
        <v>10000</v>
      </c>
      <c r="T42" s="40">
        <v>10000</v>
      </c>
      <c r="U42" s="40">
        <v>10000</v>
      </c>
      <c r="V42" s="40">
        <v>10000</v>
      </c>
      <c r="W42" s="40">
        <v>10000</v>
      </c>
    </row>
    <row r="43" s="1" customFormat="1" ht="58" customHeight="1" spans="1:23">
      <c r="A43" s="39" t="s">
        <v>199</v>
      </c>
      <c r="B43" s="40" t="s">
        <v>89</v>
      </c>
      <c r="C43" s="40" t="s">
        <v>207</v>
      </c>
      <c r="D43" s="40" t="s">
        <v>89</v>
      </c>
      <c r="E43" s="39" t="s">
        <v>211</v>
      </c>
      <c r="F43" s="39" t="s">
        <v>212</v>
      </c>
      <c r="G43" s="47" t="s">
        <v>210</v>
      </c>
      <c r="H43" s="47" t="s">
        <v>29</v>
      </c>
      <c r="I43" s="47" t="s">
        <v>30</v>
      </c>
      <c r="J43" s="47" t="s">
        <v>31</v>
      </c>
      <c r="K43" s="40" t="s">
        <v>54</v>
      </c>
      <c r="L43" s="40">
        <v>0</v>
      </c>
      <c r="M43" s="39">
        <v>330</v>
      </c>
      <c r="N43" s="40">
        <v>330</v>
      </c>
      <c r="O43" s="40">
        <v>330</v>
      </c>
      <c r="P43" s="40">
        <v>330</v>
      </c>
      <c r="Q43" s="40">
        <v>330</v>
      </c>
      <c r="R43" s="40">
        <v>330</v>
      </c>
      <c r="S43" s="40">
        <v>330</v>
      </c>
      <c r="T43" s="40">
        <v>330</v>
      </c>
      <c r="U43" s="40">
        <v>330</v>
      </c>
      <c r="V43" s="40">
        <v>330</v>
      </c>
      <c r="W43" s="40">
        <v>330</v>
      </c>
    </row>
    <row r="44" s="1" customFormat="1" ht="62" customHeight="1" spans="1:23">
      <c r="A44" s="39" t="s">
        <v>199</v>
      </c>
      <c r="B44" s="40" t="s">
        <v>89</v>
      </c>
      <c r="C44" s="40" t="s">
        <v>207</v>
      </c>
      <c r="D44" s="40" t="s">
        <v>89</v>
      </c>
      <c r="E44" s="39" t="s">
        <v>213</v>
      </c>
      <c r="F44" s="39" t="s">
        <v>214</v>
      </c>
      <c r="G44" s="47" t="s">
        <v>210</v>
      </c>
      <c r="H44" s="47" t="s">
        <v>29</v>
      </c>
      <c r="I44" s="47" t="s">
        <v>30</v>
      </c>
      <c r="J44" s="47" t="s">
        <v>31</v>
      </c>
      <c r="K44" s="40" t="s">
        <v>54</v>
      </c>
      <c r="L44" s="40">
        <v>0</v>
      </c>
      <c r="M44" s="39">
        <v>30000</v>
      </c>
      <c r="N44" s="40">
        <v>1351</v>
      </c>
      <c r="O44" s="40">
        <v>1351</v>
      </c>
      <c r="P44" s="40">
        <v>6773</v>
      </c>
      <c r="Q44" s="40">
        <v>30694</v>
      </c>
      <c r="R44" s="40">
        <v>30000</v>
      </c>
      <c r="S44" s="40">
        <v>30000</v>
      </c>
      <c r="T44" s="40">
        <v>30000</v>
      </c>
      <c r="U44" s="40">
        <v>30000</v>
      </c>
      <c r="V44" s="40">
        <v>30000</v>
      </c>
      <c r="W44" s="40">
        <v>30000</v>
      </c>
    </row>
    <row r="45" s="1" customFormat="1" ht="54" customHeight="1" spans="1:23">
      <c r="A45" s="39" t="s">
        <v>199</v>
      </c>
      <c r="B45" s="40" t="s">
        <v>89</v>
      </c>
      <c r="C45" s="40" t="s">
        <v>207</v>
      </c>
      <c r="D45" s="40" t="s">
        <v>89</v>
      </c>
      <c r="E45" s="39" t="s">
        <v>215</v>
      </c>
      <c r="F45" s="39" t="s">
        <v>216</v>
      </c>
      <c r="G45" s="47" t="s">
        <v>210</v>
      </c>
      <c r="H45" s="47" t="s">
        <v>29</v>
      </c>
      <c r="I45" s="47" t="s">
        <v>30</v>
      </c>
      <c r="J45" s="47" t="s">
        <v>31</v>
      </c>
      <c r="K45" s="40" t="s">
        <v>54</v>
      </c>
      <c r="L45" s="40">
        <v>0</v>
      </c>
      <c r="M45" s="39">
        <v>707</v>
      </c>
      <c r="N45" s="40">
        <v>707</v>
      </c>
      <c r="O45" s="40">
        <v>707</v>
      </c>
      <c r="P45" s="40">
        <v>707</v>
      </c>
      <c r="Q45" s="40">
        <v>707</v>
      </c>
      <c r="R45" s="40">
        <v>707</v>
      </c>
      <c r="S45" s="40">
        <v>707</v>
      </c>
      <c r="T45" s="40">
        <v>707</v>
      </c>
      <c r="U45" s="40">
        <v>707</v>
      </c>
      <c r="V45" s="40">
        <v>707</v>
      </c>
      <c r="W45" s="40">
        <v>707</v>
      </c>
    </row>
    <row r="46" s="20" customFormat="1" ht="53" customHeight="1" spans="1:23">
      <c r="A46" s="32" t="s">
        <v>217</v>
      </c>
      <c r="B46" s="33" t="s">
        <v>218</v>
      </c>
      <c r="C46" s="33" t="s">
        <v>25</v>
      </c>
      <c r="D46" s="33" t="s">
        <v>218</v>
      </c>
      <c r="E46" s="32" t="s">
        <v>219</v>
      </c>
      <c r="F46" s="32" t="s">
        <v>220</v>
      </c>
      <c r="G46" s="44" t="s">
        <v>221</v>
      </c>
      <c r="H46" s="44" t="s">
        <v>29</v>
      </c>
      <c r="I46" s="44" t="s">
        <v>167</v>
      </c>
      <c r="J46" s="33" t="s">
        <v>31</v>
      </c>
      <c r="K46" s="33" t="s">
        <v>54</v>
      </c>
      <c r="L46" s="35">
        <v>0.1224</v>
      </c>
      <c r="M46" s="58">
        <v>0.06</v>
      </c>
      <c r="N46" s="45">
        <v>0.1</v>
      </c>
      <c r="O46" s="45">
        <v>0.08</v>
      </c>
      <c r="P46" s="45">
        <v>0.08</v>
      </c>
      <c r="Q46" s="45">
        <v>0.08</v>
      </c>
      <c r="R46" s="45">
        <v>0.07</v>
      </c>
      <c r="S46" s="45">
        <v>0.07</v>
      </c>
      <c r="T46" s="45">
        <v>0.07</v>
      </c>
      <c r="U46" s="45">
        <v>0.06</v>
      </c>
      <c r="V46" s="45">
        <v>0.06</v>
      </c>
      <c r="W46" s="45">
        <v>0.06</v>
      </c>
    </row>
    <row r="47" s="1" customFormat="1" ht="79" customHeight="1" spans="1:23">
      <c r="A47" s="39" t="s">
        <v>222</v>
      </c>
      <c r="B47" s="40" t="s">
        <v>223</v>
      </c>
      <c r="C47" s="40" t="s">
        <v>224</v>
      </c>
      <c r="D47" s="40" t="s">
        <v>223</v>
      </c>
      <c r="E47" s="39" t="s">
        <v>225</v>
      </c>
      <c r="F47" s="59" t="s">
        <v>226</v>
      </c>
      <c r="G47" s="47" t="s">
        <v>221</v>
      </c>
      <c r="H47" s="47" t="s">
        <v>29</v>
      </c>
      <c r="I47" s="47" t="s">
        <v>167</v>
      </c>
      <c r="J47" s="47" t="s">
        <v>31</v>
      </c>
      <c r="K47" s="40" t="s">
        <v>54</v>
      </c>
      <c r="L47" s="40">
        <v>348</v>
      </c>
      <c r="M47" s="39">
        <v>55</v>
      </c>
      <c r="N47" s="40" t="s">
        <v>57</v>
      </c>
      <c r="O47" s="40" t="s">
        <v>57</v>
      </c>
      <c r="P47" s="40" t="s">
        <v>57</v>
      </c>
      <c r="Q47" s="40">
        <v>120</v>
      </c>
      <c r="R47" s="40">
        <v>110</v>
      </c>
      <c r="S47" s="40">
        <v>100</v>
      </c>
      <c r="T47" s="40">
        <v>90</v>
      </c>
      <c r="U47" s="40">
        <v>80</v>
      </c>
      <c r="V47" s="40">
        <v>70</v>
      </c>
      <c r="W47" s="40">
        <v>55</v>
      </c>
    </row>
    <row r="48" s="1" customFormat="1" ht="68" customHeight="1" spans="1:23">
      <c r="A48" s="39" t="s">
        <v>222</v>
      </c>
      <c r="B48" s="40" t="s">
        <v>223</v>
      </c>
      <c r="C48" s="40" t="s">
        <v>227</v>
      </c>
      <c r="D48" s="40" t="s">
        <v>43</v>
      </c>
      <c r="E48" s="39" t="s">
        <v>228</v>
      </c>
      <c r="F48" s="39" t="s">
        <v>229</v>
      </c>
      <c r="G48" s="47" t="s">
        <v>230</v>
      </c>
      <c r="H48" s="47" t="s">
        <v>29</v>
      </c>
      <c r="I48" s="47"/>
      <c r="J48" s="40" t="s">
        <v>31</v>
      </c>
      <c r="K48" s="40" t="s">
        <v>54</v>
      </c>
      <c r="L48" s="40" t="s">
        <v>93</v>
      </c>
      <c r="M48" s="49">
        <v>1</v>
      </c>
      <c r="N48" s="50">
        <v>1</v>
      </c>
      <c r="O48" s="50">
        <v>1</v>
      </c>
      <c r="P48" s="50">
        <v>1</v>
      </c>
      <c r="Q48" s="50">
        <v>1</v>
      </c>
      <c r="R48" s="50">
        <v>1</v>
      </c>
      <c r="S48" s="50">
        <v>1</v>
      </c>
      <c r="T48" s="50">
        <v>1</v>
      </c>
      <c r="U48" s="50">
        <v>1</v>
      </c>
      <c r="V48" s="50">
        <v>1</v>
      </c>
      <c r="W48" s="50">
        <v>1</v>
      </c>
    </row>
    <row r="49" s="1" customFormat="1" ht="68" customHeight="1" spans="1:23">
      <c r="A49" s="39" t="s">
        <v>222</v>
      </c>
      <c r="B49" s="40" t="s">
        <v>223</v>
      </c>
      <c r="C49" s="40" t="s">
        <v>227</v>
      </c>
      <c r="D49" s="40" t="s">
        <v>43</v>
      </c>
      <c r="E49" s="39" t="s">
        <v>231</v>
      </c>
      <c r="F49" s="39" t="s">
        <v>232</v>
      </c>
      <c r="G49" s="47" t="s">
        <v>230</v>
      </c>
      <c r="H49" s="47" t="s">
        <v>29</v>
      </c>
      <c r="I49" s="47"/>
      <c r="J49" s="40" t="s">
        <v>31</v>
      </c>
      <c r="K49" s="40" t="s">
        <v>54</v>
      </c>
      <c r="L49" s="40" t="s">
        <v>93</v>
      </c>
      <c r="M49" s="49">
        <v>1</v>
      </c>
      <c r="N49" s="50">
        <v>1</v>
      </c>
      <c r="O49" s="50">
        <v>1</v>
      </c>
      <c r="P49" s="50">
        <v>1</v>
      </c>
      <c r="Q49" s="50">
        <v>1</v>
      </c>
      <c r="R49" s="50">
        <v>1</v>
      </c>
      <c r="S49" s="50">
        <v>1</v>
      </c>
      <c r="T49" s="50">
        <v>1</v>
      </c>
      <c r="U49" s="50">
        <v>1</v>
      </c>
      <c r="V49" s="50">
        <v>1</v>
      </c>
      <c r="W49" s="50">
        <v>1</v>
      </c>
    </row>
    <row r="50" s="1" customFormat="1" ht="68" customHeight="1" spans="1:23">
      <c r="A50" s="39" t="s">
        <v>222</v>
      </c>
      <c r="B50" s="40" t="s">
        <v>223</v>
      </c>
      <c r="C50" s="40" t="s">
        <v>227</v>
      </c>
      <c r="D50" s="40" t="s">
        <v>43</v>
      </c>
      <c r="E50" s="39" t="s">
        <v>233</v>
      </c>
      <c r="F50" s="39" t="s">
        <v>232</v>
      </c>
      <c r="G50" s="47" t="s">
        <v>230</v>
      </c>
      <c r="H50" s="47" t="s">
        <v>29</v>
      </c>
      <c r="I50" s="47"/>
      <c r="J50" s="40" t="s">
        <v>31</v>
      </c>
      <c r="K50" s="40" t="s">
        <v>54</v>
      </c>
      <c r="L50" s="40" t="s">
        <v>93</v>
      </c>
      <c r="M50" s="49">
        <v>1</v>
      </c>
      <c r="N50" s="50">
        <v>1</v>
      </c>
      <c r="O50" s="50">
        <v>1</v>
      </c>
      <c r="P50" s="50">
        <v>1</v>
      </c>
      <c r="Q50" s="50">
        <v>1</v>
      </c>
      <c r="R50" s="50">
        <v>1</v>
      </c>
      <c r="S50" s="50">
        <v>1</v>
      </c>
      <c r="T50" s="50">
        <v>1</v>
      </c>
      <c r="U50" s="50">
        <v>1</v>
      </c>
      <c r="V50" s="50">
        <v>1</v>
      </c>
      <c r="W50" s="50">
        <v>1</v>
      </c>
    </row>
    <row r="51" s="1" customFormat="1" ht="55" customHeight="1" spans="1:23">
      <c r="A51" s="39" t="s">
        <v>222</v>
      </c>
      <c r="B51" s="40" t="s">
        <v>223</v>
      </c>
      <c r="C51" s="40" t="s">
        <v>227</v>
      </c>
      <c r="D51" s="40" t="s">
        <v>43</v>
      </c>
      <c r="E51" s="39" t="s">
        <v>234</v>
      </c>
      <c r="F51" s="39" t="s">
        <v>235</v>
      </c>
      <c r="G51" s="47" t="s">
        <v>230</v>
      </c>
      <c r="H51" s="47" t="s">
        <v>29</v>
      </c>
      <c r="I51" s="47"/>
      <c r="J51" s="40" t="s">
        <v>31</v>
      </c>
      <c r="K51" s="40" t="s">
        <v>54</v>
      </c>
      <c r="L51" s="40" t="s">
        <v>93</v>
      </c>
      <c r="M51" s="49">
        <v>0.85</v>
      </c>
      <c r="N51" s="50">
        <v>0.8</v>
      </c>
      <c r="O51" s="50">
        <v>0.8</v>
      </c>
      <c r="P51" s="50">
        <v>0.8</v>
      </c>
      <c r="Q51" s="50">
        <v>0.85</v>
      </c>
      <c r="R51" s="50">
        <v>0.85</v>
      </c>
      <c r="S51" s="50">
        <v>0.85</v>
      </c>
      <c r="T51" s="50">
        <v>0.85</v>
      </c>
      <c r="U51" s="50">
        <v>0.85</v>
      </c>
      <c r="V51" s="50">
        <v>0.85</v>
      </c>
      <c r="W51" s="50">
        <v>0.85</v>
      </c>
    </row>
    <row r="52" s="1" customFormat="1" ht="55" customHeight="1" spans="1:23">
      <c r="A52" s="39" t="s">
        <v>222</v>
      </c>
      <c r="B52" s="40" t="s">
        <v>223</v>
      </c>
      <c r="C52" s="40" t="s">
        <v>227</v>
      </c>
      <c r="D52" s="40" t="s">
        <v>43</v>
      </c>
      <c r="E52" s="39" t="s">
        <v>236</v>
      </c>
      <c r="F52" s="39" t="s">
        <v>235</v>
      </c>
      <c r="G52" s="47" t="s">
        <v>230</v>
      </c>
      <c r="H52" s="47" t="s">
        <v>29</v>
      </c>
      <c r="I52" s="47"/>
      <c r="J52" s="40" t="s">
        <v>31</v>
      </c>
      <c r="K52" s="40" t="s">
        <v>54</v>
      </c>
      <c r="L52" s="40" t="s">
        <v>93</v>
      </c>
      <c r="M52" s="49">
        <v>0.85</v>
      </c>
      <c r="N52" s="50">
        <v>0.8</v>
      </c>
      <c r="O52" s="50">
        <v>0.8</v>
      </c>
      <c r="P52" s="50">
        <v>0.8</v>
      </c>
      <c r="Q52" s="50">
        <v>0.85</v>
      </c>
      <c r="R52" s="50">
        <v>0.85</v>
      </c>
      <c r="S52" s="50">
        <v>0.85</v>
      </c>
      <c r="T52" s="50">
        <v>0.85</v>
      </c>
      <c r="U52" s="50">
        <v>0.85</v>
      </c>
      <c r="V52" s="50">
        <v>0.85</v>
      </c>
      <c r="W52" s="50">
        <v>0.85</v>
      </c>
    </row>
    <row r="53" s="1" customFormat="1" ht="55" customHeight="1" spans="1:23">
      <c r="A53" s="39" t="s">
        <v>222</v>
      </c>
      <c r="B53" s="40" t="s">
        <v>223</v>
      </c>
      <c r="C53" s="40" t="s">
        <v>227</v>
      </c>
      <c r="D53" s="40" t="s">
        <v>43</v>
      </c>
      <c r="E53" s="39" t="s">
        <v>237</v>
      </c>
      <c r="F53" s="39" t="s">
        <v>235</v>
      </c>
      <c r="G53" s="47" t="s">
        <v>230</v>
      </c>
      <c r="H53" s="47" t="s">
        <v>29</v>
      </c>
      <c r="I53" s="47"/>
      <c r="J53" s="40" t="s">
        <v>31</v>
      </c>
      <c r="K53" s="40" t="s">
        <v>54</v>
      </c>
      <c r="L53" s="40" t="s">
        <v>93</v>
      </c>
      <c r="M53" s="49">
        <v>0.85</v>
      </c>
      <c r="N53" s="50">
        <v>0.8</v>
      </c>
      <c r="O53" s="50">
        <v>0.8</v>
      </c>
      <c r="P53" s="50">
        <v>0.8</v>
      </c>
      <c r="Q53" s="50">
        <v>0.85</v>
      </c>
      <c r="R53" s="50">
        <v>0.85</v>
      </c>
      <c r="S53" s="50">
        <v>0.85</v>
      </c>
      <c r="T53" s="50">
        <v>0.85</v>
      </c>
      <c r="U53" s="50">
        <v>0.85</v>
      </c>
      <c r="V53" s="50">
        <v>0.85</v>
      </c>
      <c r="W53" s="50">
        <v>0.85</v>
      </c>
    </row>
    <row r="54" s="1" customFormat="1" ht="63" customHeight="1" spans="1:23">
      <c r="A54" s="39" t="s">
        <v>222</v>
      </c>
      <c r="B54" s="40" t="s">
        <v>223</v>
      </c>
      <c r="C54" s="40" t="s">
        <v>227</v>
      </c>
      <c r="D54" s="40" t="s">
        <v>43</v>
      </c>
      <c r="E54" s="39" t="s">
        <v>238</v>
      </c>
      <c r="F54" s="39" t="s">
        <v>239</v>
      </c>
      <c r="G54" s="47" t="s">
        <v>230</v>
      </c>
      <c r="H54" s="47" t="s">
        <v>29</v>
      </c>
      <c r="I54" s="47"/>
      <c r="J54" s="40" t="s">
        <v>31</v>
      </c>
      <c r="K54" s="40" t="s">
        <v>54</v>
      </c>
      <c r="L54" s="40" t="s">
        <v>93</v>
      </c>
      <c r="M54" s="49">
        <v>0.7</v>
      </c>
      <c r="N54" s="50">
        <v>0.65</v>
      </c>
      <c r="O54" s="50">
        <v>0.65</v>
      </c>
      <c r="P54" s="50">
        <v>0.67</v>
      </c>
      <c r="Q54" s="50">
        <v>0.7</v>
      </c>
      <c r="R54" s="50">
        <v>0.7</v>
      </c>
      <c r="S54" s="50">
        <v>0.7</v>
      </c>
      <c r="T54" s="50">
        <v>0.7</v>
      </c>
      <c r="U54" s="50">
        <v>0.7</v>
      </c>
      <c r="V54" s="50">
        <v>0.7</v>
      </c>
      <c r="W54" s="50">
        <v>0.7</v>
      </c>
    </row>
    <row r="55" s="1" customFormat="1" ht="63" customHeight="1" spans="1:23">
      <c r="A55" s="39" t="s">
        <v>222</v>
      </c>
      <c r="B55" s="40" t="s">
        <v>223</v>
      </c>
      <c r="C55" s="40" t="s">
        <v>227</v>
      </c>
      <c r="D55" s="40" t="s">
        <v>43</v>
      </c>
      <c r="E55" s="39" t="s">
        <v>240</v>
      </c>
      <c r="F55" s="39" t="s">
        <v>239</v>
      </c>
      <c r="G55" s="47" t="s">
        <v>230</v>
      </c>
      <c r="H55" s="47" t="s">
        <v>29</v>
      </c>
      <c r="I55" s="47"/>
      <c r="J55" s="40" t="s">
        <v>31</v>
      </c>
      <c r="K55" s="40" t="s">
        <v>54</v>
      </c>
      <c r="L55" s="40" t="s">
        <v>93</v>
      </c>
      <c r="M55" s="49">
        <v>0.7</v>
      </c>
      <c r="N55" s="50">
        <v>0.65</v>
      </c>
      <c r="O55" s="50">
        <v>0.65</v>
      </c>
      <c r="P55" s="50">
        <v>0.67</v>
      </c>
      <c r="Q55" s="50">
        <v>0.7</v>
      </c>
      <c r="R55" s="50">
        <v>0.7</v>
      </c>
      <c r="S55" s="50">
        <v>0.7</v>
      </c>
      <c r="T55" s="50">
        <v>0.7</v>
      </c>
      <c r="U55" s="50">
        <v>0.7</v>
      </c>
      <c r="V55" s="50">
        <v>0.7</v>
      </c>
      <c r="W55" s="50">
        <v>0.7</v>
      </c>
    </row>
    <row r="56" s="1" customFormat="1" ht="63" customHeight="1" spans="1:23">
      <c r="A56" s="39" t="s">
        <v>222</v>
      </c>
      <c r="B56" s="40" t="s">
        <v>223</v>
      </c>
      <c r="C56" s="40" t="s">
        <v>227</v>
      </c>
      <c r="D56" s="40" t="s">
        <v>43</v>
      </c>
      <c r="E56" s="39" t="s">
        <v>241</v>
      </c>
      <c r="F56" s="39" t="s">
        <v>239</v>
      </c>
      <c r="G56" s="47" t="s">
        <v>230</v>
      </c>
      <c r="H56" s="47" t="s">
        <v>29</v>
      </c>
      <c r="I56" s="47"/>
      <c r="J56" s="40" t="s">
        <v>31</v>
      </c>
      <c r="K56" s="40" t="s">
        <v>54</v>
      </c>
      <c r="L56" s="40" t="s">
        <v>93</v>
      </c>
      <c r="M56" s="49">
        <v>0.7</v>
      </c>
      <c r="N56" s="50">
        <v>0.65</v>
      </c>
      <c r="O56" s="50">
        <v>0.65</v>
      </c>
      <c r="P56" s="50">
        <v>0.67</v>
      </c>
      <c r="Q56" s="50">
        <v>0.7</v>
      </c>
      <c r="R56" s="50">
        <v>0.7</v>
      </c>
      <c r="S56" s="50">
        <v>0.7</v>
      </c>
      <c r="T56" s="50">
        <v>0.7</v>
      </c>
      <c r="U56" s="50">
        <v>0.7</v>
      </c>
      <c r="V56" s="50">
        <v>0.7</v>
      </c>
      <c r="W56" s="50">
        <v>0.7</v>
      </c>
    </row>
    <row r="57" s="23" customFormat="1" ht="60" customHeight="1" spans="1:23">
      <c r="A57" s="60" t="s">
        <v>242</v>
      </c>
      <c r="B57" s="60" t="s">
        <v>243</v>
      </c>
      <c r="C57" s="60" t="s">
        <v>25</v>
      </c>
      <c r="D57" s="60" t="s">
        <v>243</v>
      </c>
      <c r="E57" s="61" t="s">
        <v>244</v>
      </c>
      <c r="F57" s="61" t="s">
        <v>245</v>
      </c>
      <c r="G57" s="60" t="s">
        <v>246</v>
      </c>
      <c r="H57" s="60" t="s">
        <v>29</v>
      </c>
      <c r="I57" s="60" t="s">
        <v>167</v>
      </c>
      <c r="J57" s="60" t="s">
        <v>31</v>
      </c>
      <c r="K57" s="60" t="s">
        <v>54</v>
      </c>
      <c r="L57" s="60"/>
      <c r="M57" s="61">
        <v>0</v>
      </c>
      <c r="N57" s="60">
        <v>-223.16</v>
      </c>
      <c r="O57" s="60">
        <v>-790.43</v>
      </c>
      <c r="P57" s="60">
        <v>-771.14</v>
      </c>
      <c r="Q57" s="60">
        <v>241.12</v>
      </c>
      <c r="R57" s="60">
        <v>-227</v>
      </c>
      <c r="S57" s="60">
        <v>731.12</v>
      </c>
      <c r="T57" s="60">
        <v>90.5</v>
      </c>
      <c r="U57" s="60">
        <v>879</v>
      </c>
      <c r="V57" s="60">
        <v>1456.56</v>
      </c>
      <c r="W57" s="60">
        <v>1246.03</v>
      </c>
    </row>
    <row r="58" s="1" customFormat="1" ht="71" customHeight="1" spans="1:23">
      <c r="A58" s="39" t="s">
        <v>247</v>
      </c>
      <c r="B58" s="40" t="s">
        <v>243</v>
      </c>
      <c r="C58" s="40" t="s">
        <v>25</v>
      </c>
      <c r="D58" s="40" t="s">
        <v>243</v>
      </c>
      <c r="E58" s="39" t="s">
        <v>248</v>
      </c>
      <c r="F58" s="39" t="s">
        <v>249</v>
      </c>
      <c r="G58" s="47" t="s">
        <v>250</v>
      </c>
      <c r="H58" s="47" t="s">
        <v>29</v>
      </c>
      <c r="I58" s="47"/>
      <c r="J58" s="40" t="s">
        <v>54</v>
      </c>
      <c r="K58" s="40" t="s">
        <v>54</v>
      </c>
      <c r="L58" s="40" t="s">
        <v>93</v>
      </c>
      <c r="M58" s="39" t="s">
        <v>251</v>
      </c>
      <c r="N58" s="40" t="s">
        <v>252</v>
      </c>
      <c r="O58" s="40" t="s">
        <v>253</v>
      </c>
      <c r="P58" s="40" t="s">
        <v>254</v>
      </c>
      <c r="Q58" s="40" t="s">
        <v>255</v>
      </c>
      <c r="R58" s="40" t="s">
        <v>57</v>
      </c>
      <c r="S58" s="40" t="s">
        <v>256</v>
      </c>
      <c r="T58" s="40" t="s">
        <v>57</v>
      </c>
      <c r="U58" s="40" t="s">
        <v>57</v>
      </c>
      <c r="V58" s="40" t="s">
        <v>57</v>
      </c>
      <c r="W58" s="40" t="s">
        <v>257</v>
      </c>
    </row>
    <row r="59" s="20" customFormat="1" ht="81" customHeight="1" spans="1:23">
      <c r="A59" s="32" t="s">
        <v>258</v>
      </c>
      <c r="B59" s="33" t="s">
        <v>259</v>
      </c>
      <c r="C59" s="60" t="s">
        <v>25</v>
      </c>
      <c r="D59" s="33" t="s">
        <v>259</v>
      </c>
      <c r="E59" s="32" t="s">
        <v>260</v>
      </c>
      <c r="F59" s="32" t="s">
        <v>261</v>
      </c>
      <c r="G59" s="44" t="s">
        <v>246</v>
      </c>
      <c r="H59" s="57" t="s">
        <v>262</v>
      </c>
      <c r="I59" s="44"/>
      <c r="J59" s="33" t="s">
        <v>31</v>
      </c>
      <c r="K59" s="33" t="s">
        <v>54</v>
      </c>
      <c r="L59" s="55"/>
      <c r="M59" s="32"/>
      <c r="N59" s="33" t="s">
        <v>263</v>
      </c>
      <c r="O59" s="33" t="s">
        <v>57</v>
      </c>
      <c r="P59" s="33" t="s">
        <v>57</v>
      </c>
      <c r="Q59" s="33" t="s">
        <v>57</v>
      </c>
      <c r="R59" s="33" t="s">
        <v>57</v>
      </c>
      <c r="S59" s="33" t="s">
        <v>57</v>
      </c>
      <c r="T59" s="33" t="s">
        <v>57</v>
      </c>
      <c r="U59" s="33" t="s">
        <v>57</v>
      </c>
      <c r="V59" s="33" t="s">
        <v>57</v>
      </c>
      <c r="W59" s="33" t="s">
        <v>264</v>
      </c>
    </row>
    <row r="60" s="1" customFormat="1" ht="87" customHeight="1" spans="1:23">
      <c r="A60" s="39" t="s">
        <v>265</v>
      </c>
      <c r="B60" s="40" t="s">
        <v>259</v>
      </c>
      <c r="C60" s="40" t="s">
        <v>25</v>
      </c>
      <c r="D60" s="40" t="s">
        <v>259</v>
      </c>
      <c r="E60" s="39" t="s">
        <v>266</v>
      </c>
      <c r="F60" s="39" t="s">
        <v>267</v>
      </c>
      <c r="G60" s="47" t="s">
        <v>246</v>
      </c>
      <c r="H60" s="57" t="s">
        <v>262</v>
      </c>
      <c r="I60" s="47"/>
      <c r="J60" s="40" t="s">
        <v>31</v>
      </c>
      <c r="K60" s="40" t="s">
        <v>54</v>
      </c>
      <c r="L60" s="40"/>
      <c r="M60" s="39"/>
      <c r="N60" s="40" t="s">
        <v>57</v>
      </c>
      <c r="O60" s="40" t="s">
        <v>268</v>
      </c>
      <c r="P60" s="40" t="s">
        <v>269</v>
      </c>
      <c r="Q60" s="40" t="s">
        <v>57</v>
      </c>
      <c r="R60" s="40" t="s">
        <v>57</v>
      </c>
      <c r="S60" s="40" t="s">
        <v>57</v>
      </c>
      <c r="T60" s="40" t="s">
        <v>57</v>
      </c>
      <c r="U60" s="40" t="s">
        <v>57</v>
      </c>
      <c r="V60" s="40" t="s">
        <v>57</v>
      </c>
      <c r="W60" s="40" t="s">
        <v>270</v>
      </c>
    </row>
  </sheetData>
  <autoFilter xmlns:etc="http://www.wps.cn/officeDocument/2017/etCustomData" ref="A1:W6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8"/>
  <sheetViews>
    <sheetView workbookViewId="0">
      <pane xSplit="6" ySplit="1" topLeftCell="G12" activePane="bottomRight" state="frozen"/>
      <selection/>
      <selection pane="topRight"/>
      <selection pane="bottomLeft"/>
      <selection pane="bottomRight" activeCell="G17" sqref="G17"/>
    </sheetView>
  </sheetViews>
  <sheetFormatPr defaultColWidth="9.02654867256637" defaultRowHeight="11.25"/>
  <cols>
    <col min="1" max="1" width="9.02654867256637" style="107"/>
    <col min="2" max="2" width="11.9557522123894" style="107" customWidth="1"/>
    <col min="3" max="4" width="11.9557522123894" style="107" hidden="1" customWidth="1"/>
    <col min="5" max="5" width="23.3008849557522" style="107" hidden="1" customWidth="1"/>
    <col min="6" max="6" width="19.716814159292" style="107" customWidth="1"/>
    <col min="7" max="7" width="12.2212389380531" style="107" customWidth="1"/>
    <col min="8" max="8" width="43.283185840708" style="107" customWidth="1"/>
    <col min="9" max="9" width="9.02654867256637" style="107"/>
    <col min="10" max="10" width="21.4424778761062" style="107" customWidth="1"/>
    <col min="11" max="16384" width="9.02654867256637" style="107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271</v>
      </c>
      <c r="G1" s="6" t="s">
        <v>272</v>
      </c>
      <c r="H1" s="6" t="s">
        <v>273</v>
      </c>
      <c r="I1" s="6" t="s">
        <v>274</v>
      </c>
      <c r="J1" s="6" t="s">
        <v>275</v>
      </c>
    </row>
    <row r="2" spans="1:10">
      <c r="A2" s="108" t="s">
        <v>23</v>
      </c>
      <c r="B2" s="108" t="s">
        <v>24</v>
      </c>
      <c r="C2" s="108" t="s">
        <v>25</v>
      </c>
      <c r="D2" s="108" t="s">
        <v>24</v>
      </c>
      <c r="E2" s="109" t="s">
        <v>276</v>
      </c>
      <c r="F2" s="108" t="s">
        <v>277</v>
      </c>
      <c r="G2" s="110">
        <v>46142</v>
      </c>
      <c r="H2" s="111" t="s">
        <v>278</v>
      </c>
      <c r="I2" s="112"/>
      <c r="J2" s="112"/>
    </row>
    <row r="3" spans="1:10">
      <c r="A3" s="108"/>
      <c r="B3" s="108"/>
      <c r="C3" s="108"/>
      <c r="D3" s="108"/>
      <c r="E3" s="109"/>
      <c r="F3" s="108"/>
      <c r="G3" s="110">
        <v>46203</v>
      </c>
      <c r="H3" s="111" t="s">
        <v>279</v>
      </c>
      <c r="I3" s="112"/>
      <c r="J3" s="112"/>
    </row>
    <row r="4" spans="1:10">
      <c r="A4" s="108"/>
      <c r="B4" s="108"/>
      <c r="C4" s="108"/>
      <c r="D4" s="108"/>
      <c r="E4" s="109"/>
      <c r="F4" s="108"/>
      <c r="G4" s="110">
        <v>46234</v>
      </c>
      <c r="H4" s="111" t="s">
        <v>280</v>
      </c>
      <c r="I4" s="112"/>
      <c r="J4" s="112"/>
    </row>
    <row r="5" spans="1:10">
      <c r="A5" s="108"/>
      <c r="B5" s="108"/>
      <c r="C5" s="108"/>
      <c r="D5" s="108"/>
      <c r="E5" s="109"/>
      <c r="F5" s="108"/>
      <c r="G5" s="110">
        <v>46326</v>
      </c>
      <c r="H5" s="111" t="s">
        <v>281</v>
      </c>
      <c r="I5" s="112"/>
      <c r="J5" s="112"/>
    </row>
    <row r="6" spans="1:10">
      <c r="A6" s="108"/>
      <c r="B6" s="108"/>
      <c r="C6" s="108"/>
      <c r="D6" s="108"/>
      <c r="E6" s="109"/>
      <c r="F6" s="108"/>
      <c r="G6" s="110">
        <v>46387</v>
      </c>
      <c r="H6" s="111" t="s">
        <v>282</v>
      </c>
      <c r="I6" s="112"/>
      <c r="J6" s="112"/>
    </row>
    <row r="7" spans="1:10">
      <c r="A7" s="108"/>
      <c r="B7" s="108"/>
      <c r="C7" s="108"/>
      <c r="D7" s="108"/>
      <c r="E7" s="109"/>
      <c r="F7" s="108" t="s">
        <v>283</v>
      </c>
      <c r="G7" s="110">
        <v>46112</v>
      </c>
      <c r="H7" s="112" t="s">
        <v>284</v>
      </c>
      <c r="I7" s="112"/>
      <c r="J7" s="112"/>
    </row>
    <row r="8" spans="1:10">
      <c r="A8" s="108"/>
      <c r="B8" s="108"/>
      <c r="C8" s="108"/>
      <c r="D8" s="108"/>
      <c r="E8" s="109"/>
      <c r="F8" s="108"/>
      <c r="G8" s="110">
        <v>46142</v>
      </c>
      <c r="H8" s="112" t="s">
        <v>284</v>
      </c>
      <c r="I8" s="112"/>
      <c r="J8" s="112"/>
    </row>
    <row r="9" spans="1:10">
      <c r="A9" s="108"/>
      <c r="B9" s="108"/>
      <c r="C9" s="108"/>
      <c r="D9" s="108"/>
      <c r="E9" s="109"/>
      <c r="F9" s="108"/>
      <c r="G9" s="110">
        <v>46173</v>
      </c>
      <c r="H9" s="112" t="s">
        <v>284</v>
      </c>
      <c r="I9" s="112"/>
      <c r="J9" s="112"/>
    </row>
    <row r="10" spans="1:10">
      <c r="A10" s="108"/>
      <c r="B10" s="108"/>
      <c r="C10" s="108"/>
      <c r="D10" s="108"/>
      <c r="E10" s="109"/>
      <c r="F10" s="108"/>
      <c r="G10" s="110">
        <v>46203</v>
      </c>
      <c r="H10" s="112" t="s">
        <v>284</v>
      </c>
      <c r="I10" s="112"/>
      <c r="J10" s="112"/>
    </row>
    <row r="11" spans="1:10">
      <c r="A11" s="108"/>
      <c r="B11" s="108"/>
      <c r="C11" s="108"/>
      <c r="D11" s="108"/>
      <c r="E11" s="109"/>
      <c r="F11" s="108"/>
      <c r="G11" s="110">
        <v>46234</v>
      </c>
      <c r="H11" s="112" t="s">
        <v>284</v>
      </c>
      <c r="I11" s="112"/>
      <c r="J11" s="112"/>
    </row>
    <row r="12" spans="1:10">
      <c r="A12" s="108"/>
      <c r="B12" s="108"/>
      <c r="C12" s="108"/>
      <c r="D12" s="108"/>
      <c r="E12" s="109"/>
      <c r="F12" s="108"/>
      <c r="G12" s="110">
        <v>46265</v>
      </c>
      <c r="H12" s="112" t="s">
        <v>284</v>
      </c>
      <c r="I12" s="112"/>
      <c r="J12" s="112"/>
    </row>
    <row r="13" spans="1:10">
      <c r="A13" s="108"/>
      <c r="B13" s="108"/>
      <c r="C13" s="108"/>
      <c r="D13" s="108"/>
      <c r="E13" s="109"/>
      <c r="F13" s="108"/>
      <c r="G13" s="110">
        <v>46295</v>
      </c>
      <c r="H13" s="112" t="s">
        <v>284</v>
      </c>
      <c r="I13" s="112"/>
      <c r="J13" s="112"/>
    </row>
    <row r="14" spans="1:10">
      <c r="A14" s="108"/>
      <c r="B14" s="108"/>
      <c r="C14" s="108"/>
      <c r="D14" s="108"/>
      <c r="E14" s="109"/>
      <c r="F14" s="108"/>
      <c r="G14" s="110">
        <v>46326</v>
      </c>
      <c r="H14" s="112" t="s">
        <v>284</v>
      </c>
      <c r="I14" s="112"/>
      <c r="J14" s="112"/>
    </row>
    <row r="15" spans="1:10">
      <c r="A15" s="108"/>
      <c r="B15" s="108"/>
      <c r="C15" s="108"/>
      <c r="D15" s="108"/>
      <c r="E15" s="109"/>
      <c r="F15" s="108"/>
      <c r="G15" s="110">
        <v>46356</v>
      </c>
      <c r="H15" s="112" t="s">
        <v>284</v>
      </c>
      <c r="I15" s="112"/>
      <c r="J15" s="112"/>
    </row>
    <row r="16" spans="1:10">
      <c r="A16" s="108"/>
      <c r="B16" s="108"/>
      <c r="C16" s="108"/>
      <c r="D16" s="108"/>
      <c r="E16" s="109"/>
      <c r="F16" s="108"/>
      <c r="G16" s="110">
        <v>46387</v>
      </c>
      <c r="H16" s="112" t="s">
        <v>284</v>
      </c>
      <c r="I16" s="112"/>
      <c r="J16" s="112"/>
    </row>
    <row r="17" spans="1:10">
      <c r="A17" s="108"/>
      <c r="B17" s="108"/>
      <c r="C17" s="108"/>
      <c r="D17" s="108"/>
      <c r="E17" s="109"/>
      <c r="F17" s="108" t="s">
        <v>285</v>
      </c>
      <c r="G17" s="110">
        <v>46172</v>
      </c>
      <c r="H17" s="112" t="s">
        <v>286</v>
      </c>
      <c r="I17" s="112"/>
      <c r="J17" s="112"/>
    </row>
    <row r="18" spans="1:10">
      <c r="A18" s="108"/>
      <c r="B18" s="108"/>
      <c r="C18" s="108"/>
      <c r="D18" s="108"/>
      <c r="E18" s="109"/>
      <c r="F18" s="108"/>
      <c r="G18" s="110">
        <v>46203</v>
      </c>
      <c r="H18" s="112" t="s">
        <v>287</v>
      </c>
      <c r="I18" s="112"/>
      <c r="J18" s="112"/>
    </row>
    <row r="19" spans="1:10">
      <c r="A19" s="108"/>
      <c r="B19" s="108"/>
      <c r="C19" s="108"/>
      <c r="D19" s="108"/>
      <c r="E19" s="109"/>
      <c r="F19" s="108"/>
      <c r="G19" s="110">
        <v>46265</v>
      </c>
      <c r="H19" s="112" t="s">
        <v>288</v>
      </c>
      <c r="I19" s="112"/>
      <c r="J19" s="112"/>
    </row>
    <row r="20" spans="1:10">
      <c r="A20" s="108"/>
      <c r="B20" s="108"/>
      <c r="C20" s="108"/>
      <c r="D20" s="108"/>
      <c r="E20" s="109"/>
      <c r="F20" s="108"/>
      <c r="G20" s="110">
        <v>46295</v>
      </c>
      <c r="H20" s="112" t="s">
        <v>289</v>
      </c>
      <c r="I20" s="112"/>
      <c r="J20" s="112"/>
    </row>
    <row r="21" spans="1:10">
      <c r="A21" s="108"/>
      <c r="B21" s="108"/>
      <c r="C21" s="108"/>
      <c r="D21" s="108"/>
      <c r="E21" s="109"/>
      <c r="F21" s="108"/>
      <c r="G21" s="110">
        <v>46356</v>
      </c>
      <c r="H21" s="112" t="s">
        <v>290</v>
      </c>
      <c r="I21" s="112"/>
      <c r="J21" s="112"/>
    </row>
    <row r="22" ht="12" customHeight="1" spans="1:10">
      <c r="A22" s="108"/>
      <c r="B22" s="108"/>
      <c r="C22" s="108"/>
      <c r="D22" s="108"/>
      <c r="E22" s="109"/>
      <c r="F22" s="108"/>
      <c r="G22" s="110">
        <v>46387</v>
      </c>
      <c r="H22" s="112" t="s">
        <v>291</v>
      </c>
      <c r="I22" s="112"/>
      <c r="J22" s="112"/>
    </row>
    <row r="23" spans="1:10">
      <c r="A23" s="113" t="s">
        <v>42</v>
      </c>
      <c r="B23" s="113" t="s">
        <v>43</v>
      </c>
      <c r="C23" s="113" t="s">
        <v>25</v>
      </c>
      <c r="D23" s="113" t="s">
        <v>43</v>
      </c>
      <c r="E23" s="114" t="s">
        <v>292</v>
      </c>
      <c r="F23" s="114" t="s">
        <v>293</v>
      </c>
      <c r="G23" s="115">
        <v>46142</v>
      </c>
      <c r="H23" s="10" t="s">
        <v>294</v>
      </c>
      <c r="I23" s="10"/>
      <c r="J23" s="10"/>
    </row>
    <row r="24" spans="1:10">
      <c r="A24" s="113"/>
      <c r="B24" s="113"/>
      <c r="C24" s="113"/>
      <c r="D24" s="113"/>
      <c r="E24" s="114"/>
      <c r="F24" s="114"/>
      <c r="G24" s="115">
        <v>46234</v>
      </c>
      <c r="H24" s="10" t="s">
        <v>295</v>
      </c>
      <c r="I24" s="10"/>
      <c r="J24" s="10"/>
    </row>
    <row r="25" spans="1:10">
      <c r="A25" s="113"/>
      <c r="B25" s="113"/>
      <c r="C25" s="113"/>
      <c r="D25" s="113"/>
      <c r="E25" s="114"/>
      <c r="F25" s="114"/>
      <c r="G25" s="115">
        <v>46295</v>
      </c>
      <c r="H25" s="10" t="s">
        <v>296</v>
      </c>
      <c r="I25" s="10"/>
      <c r="J25" s="10"/>
    </row>
    <row r="26" spans="1:10">
      <c r="A26" s="113"/>
      <c r="B26" s="113"/>
      <c r="C26" s="113"/>
      <c r="D26" s="113"/>
      <c r="E26" s="114"/>
      <c r="F26" s="113" t="s">
        <v>297</v>
      </c>
      <c r="G26" s="115">
        <v>46127</v>
      </c>
      <c r="H26" s="10" t="s">
        <v>298</v>
      </c>
      <c r="I26" s="10"/>
      <c r="J26" s="10"/>
    </row>
    <row r="27" ht="22.5" spans="1:10">
      <c r="A27" s="113"/>
      <c r="B27" s="113"/>
      <c r="C27" s="113"/>
      <c r="D27" s="113"/>
      <c r="E27" s="114"/>
      <c r="F27" s="113"/>
      <c r="G27" s="115">
        <v>46142</v>
      </c>
      <c r="H27" s="10" t="s">
        <v>299</v>
      </c>
      <c r="I27" s="10"/>
      <c r="J27" s="10"/>
    </row>
    <row r="28" spans="1:10">
      <c r="A28" s="113"/>
      <c r="B28" s="113"/>
      <c r="C28" s="113"/>
      <c r="D28" s="113"/>
      <c r="E28" s="114"/>
      <c r="F28" s="114" t="s">
        <v>300</v>
      </c>
      <c r="G28" s="115">
        <v>46119</v>
      </c>
      <c r="H28" s="10" t="s">
        <v>301</v>
      </c>
      <c r="I28" s="10"/>
      <c r="J28" s="10"/>
    </row>
    <row r="29" spans="1:10">
      <c r="A29" s="113"/>
      <c r="B29" s="113"/>
      <c r="C29" s="113"/>
      <c r="D29" s="113"/>
      <c r="E29" s="114"/>
      <c r="F29" s="114"/>
      <c r="G29" s="115">
        <v>46203</v>
      </c>
      <c r="H29" s="10" t="s">
        <v>302</v>
      </c>
      <c r="I29" s="10"/>
      <c r="J29" s="10"/>
    </row>
    <row r="30" spans="1:10">
      <c r="A30" s="113"/>
      <c r="B30" s="113"/>
      <c r="C30" s="113"/>
      <c r="D30" s="113"/>
      <c r="E30" s="114"/>
      <c r="F30" s="114"/>
      <c r="G30" s="115">
        <v>46210</v>
      </c>
      <c r="H30" s="10" t="s">
        <v>303</v>
      </c>
      <c r="I30" s="10"/>
      <c r="J30" s="10"/>
    </row>
    <row r="31" spans="1:10">
      <c r="A31" s="113"/>
      <c r="B31" s="113"/>
      <c r="C31" s="113"/>
      <c r="D31" s="113"/>
      <c r="E31" s="114"/>
      <c r="F31" s="114"/>
      <c r="G31" s="115">
        <v>46264</v>
      </c>
      <c r="H31" s="10" t="s">
        <v>304</v>
      </c>
      <c r="I31" s="10"/>
      <c r="J31" s="10"/>
    </row>
    <row r="32" ht="56.25" spans="1:10">
      <c r="A32" s="108" t="s">
        <v>49</v>
      </c>
      <c r="B32" s="108" t="s">
        <v>50</v>
      </c>
      <c r="C32" s="108" t="s">
        <v>25</v>
      </c>
      <c r="D32" s="108" t="s">
        <v>50</v>
      </c>
      <c r="E32" s="109" t="s">
        <v>51</v>
      </c>
      <c r="F32" s="112" t="s">
        <v>305</v>
      </c>
      <c r="G32" s="110">
        <v>46142</v>
      </c>
      <c r="H32" s="112" t="s">
        <v>306</v>
      </c>
      <c r="I32" s="112"/>
      <c r="J32" s="112"/>
    </row>
    <row r="33" ht="67.5" spans="1:10">
      <c r="A33" s="108"/>
      <c r="B33" s="108"/>
      <c r="C33" s="108"/>
      <c r="D33" s="108"/>
      <c r="E33" s="109"/>
      <c r="F33" s="112" t="s">
        <v>307</v>
      </c>
      <c r="G33" s="110">
        <v>46142</v>
      </c>
      <c r="H33" s="112" t="s">
        <v>308</v>
      </c>
      <c r="I33" s="112"/>
      <c r="J33" s="112"/>
    </row>
    <row r="34" ht="56.25" spans="1:10">
      <c r="A34" s="108"/>
      <c r="B34" s="108"/>
      <c r="C34" s="108"/>
      <c r="D34" s="108"/>
      <c r="E34" s="109" t="s">
        <v>58</v>
      </c>
      <c r="F34" s="112" t="s">
        <v>309</v>
      </c>
      <c r="G34" s="110">
        <v>46203</v>
      </c>
      <c r="H34" s="112" t="s">
        <v>310</v>
      </c>
      <c r="I34" s="112"/>
      <c r="J34" s="112"/>
    </row>
    <row r="35" ht="45" spans="1:10">
      <c r="A35" s="108"/>
      <c r="B35" s="108"/>
      <c r="C35" s="108"/>
      <c r="D35" s="108"/>
      <c r="E35" s="109"/>
      <c r="F35" s="112" t="s">
        <v>311</v>
      </c>
      <c r="G35" s="110">
        <v>46203</v>
      </c>
      <c r="H35" s="112" t="s">
        <v>312</v>
      </c>
      <c r="I35" s="112"/>
      <c r="J35" s="112"/>
    </row>
    <row r="36" ht="67.5" spans="1:10">
      <c r="A36" s="108"/>
      <c r="B36" s="108"/>
      <c r="C36" s="108"/>
      <c r="D36" s="108"/>
      <c r="E36" s="109" t="s">
        <v>62</v>
      </c>
      <c r="F36" s="112" t="s">
        <v>313</v>
      </c>
      <c r="G36" s="110">
        <v>46265</v>
      </c>
      <c r="H36" s="112" t="s">
        <v>314</v>
      </c>
      <c r="I36" s="112"/>
      <c r="J36" s="112"/>
    </row>
    <row r="37" ht="56.25" spans="1:10">
      <c r="A37" s="108"/>
      <c r="B37" s="108"/>
      <c r="C37" s="108"/>
      <c r="D37" s="108"/>
      <c r="E37" s="109"/>
      <c r="F37" s="112" t="s">
        <v>315</v>
      </c>
      <c r="G37" s="110">
        <v>46265</v>
      </c>
      <c r="H37" s="112" t="s">
        <v>316</v>
      </c>
      <c r="I37" s="112"/>
      <c r="J37" s="112"/>
    </row>
    <row r="38" ht="78.75" spans="1:10">
      <c r="A38" s="113" t="s">
        <v>66</v>
      </c>
      <c r="B38" s="113" t="s">
        <v>67</v>
      </c>
      <c r="C38" s="113" t="s">
        <v>68</v>
      </c>
      <c r="D38" s="113" t="s">
        <v>69</v>
      </c>
      <c r="E38" s="114" t="s">
        <v>317</v>
      </c>
      <c r="F38" s="116" t="s">
        <v>318</v>
      </c>
      <c r="G38" s="115">
        <v>46203</v>
      </c>
      <c r="H38" s="10" t="s">
        <v>319</v>
      </c>
      <c r="I38" s="10"/>
      <c r="J38" s="10"/>
    </row>
    <row r="39" ht="56.25" spans="1:10">
      <c r="A39" s="113"/>
      <c r="B39" s="113"/>
      <c r="C39" s="113"/>
      <c r="D39" s="113"/>
      <c r="E39" s="114"/>
      <c r="F39" s="116" t="s">
        <v>320</v>
      </c>
      <c r="G39" s="115">
        <v>46295</v>
      </c>
      <c r="H39" s="10" t="s">
        <v>321</v>
      </c>
      <c r="I39" s="10"/>
      <c r="J39" s="10"/>
    </row>
    <row r="40" ht="45" spans="1:10">
      <c r="A40" s="113"/>
      <c r="B40" s="113"/>
      <c r="C40" s="113"/>
      <c r="D40" s="113"/>
      <c r="E40" s="114"/>
      <c r="F40" s="116" t="s">
        <v>322</v>
      </c>
      <c r="G40" s="115">
        <v>46387</v>
      </c>
      <c r="H40" s="10" t="s">
        <v>323</v>
      </c>
      <c r="I40" s="10"/>
      <c r="J40" s="10"/>
    </row>
    <row r="41" ht="22.5" spans="1:10">
      <c r="A41" s="113"/>
      <c r="B41" s="113"/>
      <c r="C41" s="113" t="s">
        <v>79</v>
      </c>
      <c r="D41" s="113" t="s">
        <v>80</v>
      </c>
      <c r="E41" s="114" t="s">
        <v>324</v>
      </c>
      <c r="F41" s="113" t="s">
        <v>325</v>
      </c>
      <c r="G41" s="115">
        <v>46203</v>
      </c>
      <c r="H41" s="10" t="s">
        <v>326</v>
      </c>
      <c r="I41" s="10"/>
      <c r="J41" s="10"/>
    </row>
    <row r="42" spans="1:10">
      <c r="A42" s="113"/>
      <c r="B42" s="113"/>
      <c r="C42" s="113"/>
      <c r="D42" s="113"/>
      <c r="E42" s="114"/>
      <c r="F42" s="113"/>
      <c r="G42" s="115">
        <v>46234</v>
      </c>
      <c r="H42" s="114" t="s">
        <v>327</v>
      </c>
      <c r="I42" s="114"/>
      <c r="J42" s="114"/>
    </row>
    <row r="43" spans="1:10">
      <c r="A43" s="113"/>
      <c r="B43" s="113"/>
      <c r="C43" s="113"/>
      <c r="D43" s="113"/>
      <c r="E43" s="114"/>
      <c r="F43" s="113"/>
      <c r="G43" s="115">
        <v>46203</v>
      </c>
      <c r="H43" s="114" t="s">
        <v>328</v>
      </c>
      <c r="I43" s="114"/>
      <c r="J43" s="114"/>
    </row>
    <row r="44" spans="1:10">
      <c r="A44" s="113"/>
      <c r="B44" s="113"/>
      <c r="C44" s="113"/>
      <c r="D44" s="113"/>
      <c r="E44" s="114"/>
      <c r="F44" s="113"/>
      <c r="G44" s="115">
        <v>46295</v>
      </c>
      <c r="H44" s="114" t="s">
        <v>329</v>
      </c>
      <c r="I44" s="114"/>
      <c r="J44" s="114"/>
    </row>
    <row r="45" spans="1:10">
      <c r="A45" s="113"/>
      <c r="B45" s="113"/>
      <c r="C45" s="113"/>
      <c r="D45" s="113"/>
      <c r="E45" s="114"/>
      <c r="F45" s="113"/>
      <c r="G45" s="115">
        <v>46387</v>
      </c>
      <c r="H45" s="114" t="s">
        <v>330</v>
      </c>
      <c r="I45" s="114"/>
      <c r="J45" s="114"/>
    </row>
    <row r="46" ht="22.5" spans="1:10">
      <c r="A46" s="113"/>
      <c r="B46" s="113"/>
      <c r="C46" s="113"/>
      <c r="D46" s="113"/>
      <c r="E46" s="114"/>
      <c r="F46" s="113"/>
      <c r="G46" s="115">
        <v>46203</v>
      </c>
      <c r="H46" s="10" t="s">
        <v>331</v>
      </c>
      <c r="I46" s="114"/>
      <c r="J46" s="114"/>
    </row>
    <row r="47" ht="22.5" spans="1:10">
      <c r="A47" s="113"/>
      <c r="B47" s="113"/>
      <c r="C47" s="113"/>
      <c r="D47" s="113"/>
      <c r="E47" s="114" t="s">
        <v>86</v>
      </c>
      <c r="F47" s="113" t="s">
        <v>332</v>
      </c>
      <c r="G47" s="115">
        <v>46142</v>
      </c>
      <c r="H47" s="10" t="s">
        <v>333</v>
      </c>
      <c r="I47" s="10"/>
      <c r="J47" s="10"/>
    </row>
    <row r="48" ht="22.5" spans="1:10">
      <c r="A48" s="113"/>
      <c r="B48" s="113"/>
      <c r="C48" s="113"/>
      <c r="D48" s="113"/>
      <c r="E48" s="114"/>
      <c r="F48" s="113"/>
      <c r="G48" s="115">
        <v>46173</v>
      </c>
      <c r="H48" s="10" t="s">
        <v>334</v>
      </c>
      <c r="I48" s="10"/>
      <c r="J48" s="10"/>
    </row>
    <row r="49" spans="1:10">
      <c r="A49" s="113"/>
      <c r="B49" s="113"/>
      <c r="C49" s="113"/>
      <c r="D49" s="113"/>
      <c r="E49" s="114"/>
      <c r="F49" s="113"/>
      <c r="G49" s="115">
        <v>46173</v>
      </c>
      <c r="H49" s="10" t="s">
        <v>335</v>
      </c>
      <c r="I49" s="10"/>
      <c r="J49" s="10"/>
    </row>
    <row r="50" ht="22.5" spans="1:10">
      <c r="A50" s="113"/>
      <c r="B50" s="113"/>
      <c r="C50" s="113"/>
      <c r="D50" s="113"/>
      <c r="E50" s="114"/>
      <c r="F50" s="113"/>
      <c r="G50" s="115">
        <v>46173</v>
      </c>
      <c r="H50" s="10" t="s">
        <v>336</v>
      </c>
      <c r="I50" s="10"/>
      <c r="J50" s="10"/>
    </row>
    <row r="51" ht="22.5" spans="1:10">
      <c r="A51" s="113"/>
      <c r="B51" s="113"/>
      <c r="C51" s="113"/>
      <c r="D51" s="113"/>
      <c r="E51" s="114"/>
      <c r="F51" s="113"/>
      <c r="G51" s="115">
        <v>46265</v>
      </c>
      <c r="H51" s="10" t="s">
        <v>337</v>
      </c>
      <c r="I51" s="10"/>
      <c r="J51" s="10"/>
    </row>
    <row r="52" ht="22.5" spans="1:10">
      <c r="A52" s="113"/>
      <c r="B52" s="113"/>
      <c r="C52" s="113" t="s">
        <v>88</v>
      </c>
      <c r="D52" s="113" t="s">
        <v>89</v>
      </c>
      <c r="E52" s="114" t="s">
        <v>90</v>
      </c>
      <c r="F52" s="116" t="s">
        <v>338</v>
      </c>
      <c r="G52" s="115">
        <v>46203</v>
      </c>
      <c r="H52" s="10" t="s">
        <v>339</v>
      </c>
      <c r="I52" s="10"/>
      <c r="J52" s="10"/>
    </row>
    <row r="53" ht="22.5" spans="1:10">
      <c r="A53" s="113"/>
      <c r="B53" s="113"/>
      <c r="C53" s="113"/>
      <c r="D53" s="113"/>
      <c r="E53" s="114"/>
      <c r="F53" s="116" t="s">
        <v>340</v>
      </c>
      <c r="G53" s="115">
        <v>46295</v>
      </c>
      <c r="H53" s="10" t="s">
        <v>341</v>
      </c>
      <c r="I53" s="10"/>
      <c r="J53" s="10"/>
    </row>
    <row r="54" ht="33.75" spans="1:10">
      <c r="A54" s="113"/>
      <c r="B54" s="113"/>
      <c r="C54" s="113"/>
      <c r="D54" s="113"/>
      <c r="E54" s="114"/>
      <c r="F54" s="116" t="s">
        <v>342</v>
      </c>
      <c r="G54" s="115">
        <v>46387</v>
      </c>
      <c r="H54" s="10" t="s">
        <v>343</v>
      </c>
      <c r="I54" s="10"/>
      <c r="J54" s="10"/>
    </row>
    <row r="55" ht="22.5" spans="1:10">
      <c r="A55" s="113"/>
      <c r="B55" s="113"/>
      <c r="C55" s="113"/>
      <c r="D55" s="113"/>
      <c r="E55" s="114"/>
      <c r="F55" s="116" t="s">
        <v>344</v>
      </c>
      <c r="G55" s="115">
        <v>46203</v>
      </c>
      <c r="H55" s="10" t="s">
        <v>345</v>
      </c>
      <c r="I55" s="10"/>
      <c r="J55" s="10"/>
    </row>
    <row r="56" spans="1:10">
      <c r="A56" s="113"/>
      <c r="B56" s="113"/>
      <c r="C56" s="113"/>
      <c r="D56" s="113"/>
      <c r="E56" s="114"/>
      <c r="F56" s="116" t="s">
        <v>346</v>
      </c>
      <c r="G56" s="115">
        <v>46265</v>
      </c>
      <c r="H56" s="10" t="s">
        <v>347</v>
      </c>
      <c r="I56" s="10"/>
      <c r="J56" s="10"/>
    </row>
    <row r="57" ht="22.5" spans="1:10">
      <c r="A57" s="113"/>
      <c r="B57" s="113"/>
      <c r="C57" s="113" t="s">
        <v>96</v>
      </c>
      <c r="D57" s="113" t="s">
        <v>67</v>
      </c>
      <c r="E57" s="114" t="s">
        <v>348</v>
      </c>
      <c r="F57" s="116" t="s">
        <v>349</v>
      </c>
      <c r="G57" s="115">
        <v>46203</v>
      </c>
      <c r="H57" s="10" t="s">
        <v>350</v>
      </c>
      <c r="I57" s="10"/>
      <c r="J57" s="10"/>
    </row>
    <row r="58" ht="22.5" spans="1:10">
      <c r="A58" s="113"/>
      <c r="B58" s="113"/>
      <c r="C58" s="113"/>
      <c r="D58" s="113"/>
      <c r="E58" s="114"/>
      <c r="F58" s="116" t="s">
        <v>351</v>
      </c>
      <c r="G58" s="115">
        <v>46265</v>
      </c>
      <c r="H58" s="10" t="s">
        <v>352</v>
      </c>
      <c r="I58" s="10"/>
      <c r="J58" s="10"/>
    </row>
    <row r="59" ht="22.5" spans="1:10">
      <c r="A59" s="113"/>
      <c r="B59" s="113"/>
      <c r="C59" s="113"/>
      <c r="D59" s="113"/>
      <c r="E59" s="114"/>
      <c r="F59" s="116" t="s">
        <v>353</v>
      </c>
      <c r="G59" s="115">
        <v>46326</v>
      </c>
      <c r="H59" s="10" t="s">
        <v>354</v>
      </c>
      <c r="I59" s="10"/>
      <c r="J59" s="10"/>
    </row>
    <row r="60" ht="22.5" spans="1:10">
      <c r="A60" s="113"/>
      <c r="B60" s="113"/>
      <c r="C60" s="113"/>
      <c r="D60" s="113"/>
      <c r="E60" s="114"/>
      <c r="F60" s="116" t="s">
        <v>355</v>
      </c>
      <c r="G60" s="115">
        <v>46387</v>
      </c>
      <c r="H60" s="10" t="s">
        <v>356</v>
      </c>
      <c r="I60" s="10"/>
      <c r="J60" s="10"/>
    </row>
    <row r="61" ht="22.5" spans="1:10">
      <c r="A61" s="113"/>
      <c r="B61" s="113"/>
      <c r="C61" s="113" t="s">
        <v>109</v>
      </c>
      <c r="D61" s="113" t="s">
        <v>43</v>
      </c>
      <c r="E61" s="114" t="s">
        <v>357</v>
      </c>
      <c r="F61" s="116" t="s">
        <v>358</v>
      </c>
      <c r="G61" s="115">
        <v>46203</v>
      </c>
      <c r="H61" s="10"/>
      <c r="I61" s="10"/>
      <c r="J61" s="10"/>
    </row>
    <row r="62" ht="22.5" spans="1:10">
      <c r="A62" s="113"/>
      <c r="B62" s="113"/>
      <c r="C62" s="113"/>
      <c r="D62" s="113"/>
      <c r="E62" s="114"/>
      <c r="F62" s="114" t="s">
        <v>359</v>
      </c>
      <c r="G62" s="115">
        <v>46203</v>
      </c>
      <c r="H62" s="10" t="s">
        <v>360</v>
      </c>
      <c r="I62" s="10"/>
      <c r="J62" s="10"/>
    </row>
    <row r="63" ht="22.5" spans="1:10">
      <c r="A63" s="113"/>
      <c r="B63" s="113"/>
      <c r="C63" s="113"/>
      <c r="D63" s="113"/>
      <c r="E63" s="114"/>
      <c r="F63" s="114"/>
      <c r="G63" s="115">
        <v>46295</v>
      </c>
      <c r="H63" s="10" t="s">
        <v>361</v>
      </c>
      <c r="I63" s="10"/>
      <c r="J63" s="10"/>
    </row>
    <row r="64" ht="22.5" spans="1:10">
      <c r="A64" s="113"/>
      <c r="B64" s="113"/>
      <c r="C64" s="113"/>
      <c r="D64" s="113"/>
      <c r="E64" s="114"/>
      <c r="F64" s="114"/>
      <c r="G64" s="115">
        <v>46203</v>
      </c>
      <c r="H64" s="10" t="s">
        <v>362</v>
      </c>
      <c r="I64" s="10"/>
      <c r="J64" s="10"/>
    </row>
    <row r="65" spans="1:10">
      <c r="A65" s="113"/>
      <c r="B65" s="113"/>
      <c r="C65" s="113"/>
      <c r="D65" s="113"/>
      <c r="E65" s="114"/>
      <c r="F65" s="114"/>
      <c r="G65" s="115">
        <v>46356</v>
      </c>
      <c r="H65" s="10" t="s">
        <v>363</v>
      </c>
      <c r="I65" s="10"/>
      <c r="J65" s="10"/>
    </row>
    <row r="66" ht="22.5" spans="1:10">
      <c r="A66" s="113"/>
      <c r="B66" s="113"/>
      <c r="C66" s="113"/>
      <c r="D66" s="113"/>
      <c r="E66" s="114"/>
      <c r="F66" s="113" t="s">
        <v>364</v>
      </c>
      <c r="G66" s="115">
        <v>46295</v>
      </c>
      <c r="H66" s="10" t="s">
        <v>365</v>
      </c>
      <c r="I66" s="10"/>
      <c r="J66" s="10"/>
    </row>
    <row r="67" spans="1:10">
      <c r="A67" s="113"/>
      <c r="B67" s="113"/>
      <c r="C67" s="113"/>
      <c r="D67" s="113"/>
      <c r="E67" s="114"/>
      <c r="F67" s="113"/>
      <c r="G67" s="115">
        <v>46356</v>
      </c>
      <c r="H67" s="10" t="s">
        <v>366</v>
      </c>
      <c r="I67" s="10"/>
      <c r="J67" s="10"/>
    </row>
    <row r="68" ht="33.75" spans="1:10">
      <c r="A68" s="113"/>
      <c r="B68" s="113"/>
      <c r="C68" s="113"/>
      <c r="D68" s="113"/>
      <c r="E68" s="114"/>
      <c r="F68" s="113" t="s">
        <v>367</v>
      </c>
      <c r="G68" s="115">
        <v>46203</v>
      </c>
      <c r="H68" s="10" t="s">
        <v>368</v>
      </c>
      <c r="I68" s="10"/>
      <c r="J68" s="10"/>
    </row>
    <row r="69" spans="1:10">
      <c r="A69" s="113"/>
      <c r="B69" s="113"/>
      <c r="C69" s="113"/>
      <c r="D69" s="113"/>
      <c r="E69" s="114"/>
      <c r="F69" s="113"/>
      <c r="G69" s="115">
        <v>46295</v>
      </c>
      <c r="H69" s="10" t="s">
        <v>369</v>
      </c>
      <c r="I69" s="10"/>
      <c r="J69" s="10"/>
    </row>
    <row r="70" ht="22.5" spans="1:10">
      <c r="A70" s="113"/>
      <c r="B70" s="113"/>
      <c r="C70" s="113"/>
      <c r="D70" s="113"/>
      <c r="E70" s="114"/>
      <c r="F70" s="113" t="s">
        <v>370</v>
      </c>
      <c r="G70" s="115">
        <v>46387</v>
      </c>
      <c r="H70" s="10" t="s">
        <v>371</v>
      </c>
      <c r="I70" s="10"/>
      <c r="J70" s="10"/>
    </row>
    <row r="71" spans="1:10">
      <c r="A71" s="113"/>
      <c r="B71" s="113"/>
      <c r="C71" s="113"/>
      <c r="D71" s="113"/>
      <c r="E71" s="114"/>
      <c r="F71" s="113"/>
      <c r="G71" s="115">
        <v>46387</v>
      </c>
      <c r="H71" s="10" t="s">
        <v>372</v>
      </c>
      <c r="I71" s="10"/>
      <c r="J71" s="10"/>
    </row>
    <row r="72" ht="45" spans="1:10">
      <c r="A72" s="117" t="s">
        <v>125</v>
      </c>
      <c r="B72" s="117" t="s">
        <v>69</v>
      </c>
      <c r="C72" s="117" t="s">
        <v>126</v>
      </c>
      <c r="D72" s="118" t="s">
        <v>69</v>
      </c>
      <c r="E72" s="119" t="s">
        <v>373</v>
      </c>
      <c r="F72" s="112" t="s">
        <v>374</v>
      </c>
      <c r="G72" s="120">
        <v>46203</v>
      </c>
      <c r="H72" s="112" t="s">
        <v>375</v>
      </c>
      <c r="I72" s="112"/>
      <c r="J72" s="112"/>
    </row>
    <row r="73" ht="45" spans="1:10">
      <c r="A73" s="117"/>
      <c r="B73" s="117"/>
      <c r="C73" s="117"/>
      <c r="D73" s="118"/>
      <c r="E73" s="119"/>
      <c r="F73" s="112" t="s">
        <v>376</v>
      </c>
      <c r="G73" s="120">
        <v>46295</v>
      </c>
      <c r="H73" s="112" t="s">
        <v>377</v>
      </c>
      <c r="I73" s="112"/>
      <c r="J73" s="112"/>
    </row>
    <row r="74" ht="45" spans="1:10">
      <c r="A74" s="117"/>
      <c r="B74" s="117"/>
      <c r="C74" s="117"/>
      <c r="D74" s="118"/>
      <c r="E74" s="119"/>
      <c r="F74" s="112" t="s">
        <v>378</v>
      </c>
      <c r="G74" s="120">
        <v>46387</v>
      </c>
      <c r="H74" s="112" t="s">
        <v>379</v>
      </c>
      <c r="I74" s="112"/>
      <c r="J74" s="112"/>
    </row>
    <row r="75" ht="33.75" spans="1:10">
      <c r="A75" s="117"/>
      <c r="B75" s="117"/>
      <c r="C75" s="117" t="s">
        <v>154</v>
      </c>
      <c r="D75" s="118" t="s">
        <v>43</v>
      </c>
      <c r="E75" s="119" t="s">
        <v>380</v>
      </c>
      <c r="F75" s="112" t="s">
        <v>374</v>
      </c>
      <c r="G75" s="120">
        <v>46203</v>
      </c>
      <c r="H75" s="112" t="s">
        <v>381</v>
      </c>
      <c r="I75" s="112"/>
      <c r="J75" s="112"/>
    </row>
    <row r="76" ht="33.75" spans="1:10">
      <c r="A76" s="117"/>
      <c r="B76" s="117"/>
      <c r="C76" s="117"/>
      <c r="D76" s="118"/>
      <c r="E76" s="119"/>
      <c r="F76" s="112" t="s">
        <v>376</v>
      </c>
      <c r="G76" s="120">
        <v>46295</v>
      </c>
      <c r="H76" s="112" t="s">
        <v>382</v>
      </c>
      <c r="I76" s="112"/>
      <c r="J76" s="112"/>
    </row>
    <row r="77" ht="33.75" spans="1:10">
      <c r="A77" s="117"/>
      <c r="B77" s="117"/>
      <c r="C77" s="117"/>
      <c r="D77" s="118"/>
      <c r="E77" s="119"/>
      <c r="F77" s="112" t="s">
        <v>383</v>
      </c>
      <c r="G77" s="120">
        <v>46387</v>
      </c>
      <c r="H77" s="112" t="s">
        <v>384</v>
      </c>
      <c r="I77" s="112"/>
      <c r="J77" s="112"/>
    </row>
    <row r="78" ht="67.5" spans="1:10">
      <c r="A78" s="113" t="s">
        <v>163</v>
      </c>
      <c r="B78" s="113" t="s">
        <v>69</v>
      </c>
      <c r="C78" s="113" t="s">
        <v>25</v>
      </c>
      <c r="D78" s="113" t="s">
        <v>69</v>
      </c>
      <c r="E78" s="114" t="s">
        <v>385</v>
      </c>
      <c r="F78" s="10" t="s">
        <v>386</v>
      </c>
      <c r="G78" s="115">
        <v>46203</v>
      </c>
      <c r="H78" s="10" t="s">
        <v>387</v>
      </c>
      <c r="I78" s="10"/>
      <c r="J78" s="10"/>
    </row>
    <row r="79" ht="45" spans="1:10">
      <c r="A79" s="113"/>
      <c r="B79" s="113"/>
      <c r="C79" s="113"/>
      <c r="D79" s="113"/>
      <c r="E79" s="114"/>
      <c r="F79" s="10" t="s">
        <v>376</v>
      </c>
      <c r="G79" s="115">
        <v>46295</v>
      </c>
      <c r="H79" s="10" t="s">
        <v>388</v>
      </c>
      <c r="I79" s="10"/>
      <c r="J79" s="10"/>
    </row>
    <row r="80" ht="45" spans="1:10">
      <c r="A80" s="113"/>
      <c r="B80" s="113"/>
      <c r="C80" s="113"/>
      <c r="D80" s="113"/>
      <c r="E80" s="114"/>
      <c r="F80" s="10" t="s">
        <v>378</v>
      </c>
      <c r="G80" s="115">
        <v>46387</v>
      </c>
      <c r="H80" s="10" t="s">
        <v>389</v>
      </c>
      <c r="I80" s="10"/>
      <c r="J80" s="10"/>
    </row>
    <row r="81" ht="22.5" spans="1:10">
      <c r="A81" s="108" t="s">
        <v>180</v>
      </c>
      <c r="B81" s="108" t="s">
        <v>181</v>
      </c>
      <c r="C81" s="108" t="s">
        <v>25</v>
      </c>
      <c r="D81" s="108" t="s">
        <v>181</v>
      </c>
      <c r="E81" s="109" t="s">
        <v>182</v>
      </c>
      <c r="F81" s="112" t="s">
        <v>390</v>
      </c>
      <c r="G81" s="120">
        <v>46112</v>
      </c>
      <c r="H81" s="112"/>
      <c r="I81" s="112"/>
      <c r="J81" s="112"/>
    </row>
    <row r="82" ht="45" spans="1:10">
      <c r="A82" s="108"/>
      <c r="B82" s="108"/>
      <c r="C82" s="108"/>
      <c r="D82" s="108"/>
      <c r="E82" s="109"/>
      <c r="F82" s="112" t="s">
        <v>391</v>
      </c>
      <c r="G82" s="120">
        <v>46142</v>
      </c>
      <c r="H82" s="112"/>
      <c r="I82" s="112"/>
      <c r="J82" s="112"/>
    </row>
    <row r="83" spans="1:10">
      <c r="A83" s="108"/>
      <c r="B83" s="108"/>
      <c r="C83" s="108"/>
      <c r="D83" s="108"/>
      <c r="E83" s="109"/>
      <c r="F83" s="112" t="s">
        <v>392</v>
      </c>
      <c r="G83" s="120">
        <v>46173</v>
      </c>
      <c r="H83" s="112"/>
      <c r="I83" s="112"/>
      <c r="J83" s="112"/>
    </row>
    <row r="84" spans="1:10">
      <c r="A84" s="108"/>
      <c r="B84" s="108"/>
      <c r="C84" s="108"/>
      <c r="D84" s="108"/>
      <c r="E84" s="109"/>
      <c r="F84" s="112" t="s">
        <v>393</v>
      </c>
      <c r="G84" s="120">
        <v>46265</v>
      </c>
      <c r="H84" s="112"/>
      <c r="I84" s="112"/>
      <c r="J84" s="112"/>
    </row>
    <row r="85" ht="33.75" spans="1:10">
      <c r="A85" s="108"/>
      <c r="B85" s="108"/>
      <c r="C85" s="108"/>
      <c r="D85" s="108"/>
      <c r="E85" s="109"/>
      <c r="F85" s="112" t="s">
        <v>394</v>
      </c>
      <c r="G85" s="120">
        <v>46326</v>
      </c>
      <c r="H85" s="112"/>
      <c r="I85" s="112"/>
      <c r="J85" s="112"/>
    </row>
    <row r="86" ht="33.75" spans="1:10">
      <c r="A86" s="108"/>
      <c r="B86" s="108"/>
      <c r="C86" s="108"/>
      <c r="D86" s="108"/>
      <c r="E86" s="109"/>
      <c r="F86" s="112" t="s">
        <v>395</v>
      </c>
      <c r="G86" s="120">
        <v>46387</v>
      </c>
      <c r="H86" s="112"/>
      <c r="I86" s="112"/>
      <c r="J86" s="112"/>
    </row>
    <row r="87" spans="1:10">
      <c r="A87" s="108"/>
      <c r="B87" s="108"/>
      <c r="C87" s="108"/>
      <c r="D87" s="108"/>
      <c r="E87" s="109" t="s">
        <v>191</v>
      </c>
      <c r="F87" s="112" t="s">
        <v>396</v>
      </c>
      <c r="G87" s="120">
        <v>46387</v>
      </c>
      <c r="H87" s="112" t="s">
        <v>198</v>
      </c>
      <c r="I87" s="112"/>
      <c r="J87" s="112"/>
    </row>
    <row r="88" spans="1:10">
      <c r="A88" s="108"/>
      <c r="B88" s="108"/>
      <c r="C88" s="108"/>
      <c r="D88" s="108"/>
      <c r="E88" s="109"/>
      <c r="F88" s="118" t="s">
        <v>397</v>
      </c>
      <c r="G88" s="120">
        <v>46173</v>
      </c>
      <c r="H88" s="112" t="s">
        <v>398</v>
      </c>
      <c r="I88" s="112"/>
      <c r="J88" s="112"/>
    </row>
    <row r="89" ht="45" spans="1:10">
      <c r="A89" s="108"/>
      <c r="B89" s="108"/>
      <c r="C89" s="108"/>
      <c r="D89" s="108"/>
      <c r="E89" s="109"/>
      <c r="F89" s="118"/>
      <c r="G89" s="120">
        <v>46234</v>
      </c>
      <c r="H89" s="112" t="s">
        <v>399</v>
      </c>
      <c r="I89" s="112"/>
      <c r="J89" s="112"/>
    </row>
    <row r="90" spans="1:10">
      <c r="A90" s="108"/>
      <c r="B90" s="108"/>
      <c r="C90" s="108"/>
      <c r="D90" s="108"/>
      <c r="E90" s="109"/>
      <c r="F90" s="118"/>
      <c r="G90" s="120">
        <v>46356</v>
      </c>
      <c r="H90" s="112" t="s">
        <v>400</v>
      </c>
      <c r="I90" s="112"/>
      <c r="J90" s="112"/>
    </row>
    <row r="91" spans="1:10">
      <c r="A91" s="108"/>
      <c r="B91" s="108"/>
      <c r="C91" s="108"/>
      <c r="D91" s="108"/>
      <c r="E91" s="109"/>
      <c r="F91" s="118" t="s">
        <v>401</v>
      </c>
      <c r="G91" s="120">
        <v>46142</v>
      </c>
      <c r="H91" s="112" t="s">
        <v>402</v>
      </c>
      <c r="I91" s="112"/>
      <c r="J91" s="112"/>
    </row>
    <row r="92" spans="1:10">
      <c r="A92" s="108"/>
      <c r="B92" s="108"/>
      <c r="C92" s="108"/>
      <c r="D92" s="108"/>
      <c r="E92" s="109"/>
      <c r="F92" s="118"/>
      <c r="G92" s="120">
        <v>46203</v>
      </c>
      <c r="H92" s="112" t="s">
        <v>403</v>
      </c>
      <c r="I92" s="112"/>
      <c r="J92" s="112"/>
    </row>
    <row r="93" spans="1:10">
      <c r="A93" s="108"/>
      <c r="B93" s="108"/>
      <c r="C93" s="108"/>
      <c r="D93" s="108"/>
      <c r="E93" s="109"/>
      <c r="F93" s="118"/>
      <c r="G93" s="120">
        <v>46234</v>
      </c>
      <c r="H93" s="112" t="s">
        <v>404</v>
      </c>
      <c r="I93" s="112"/>
      <c r="J93" s="112"/>
    </row>
    <row r="94" spans="1:10">
      <c r="A94" s="108"/>
      <c r="B94" s="108"/>
      <c r="C94" s="108"/>
      <c r="D94" s="108"/>
      <c r="E94" s="109"/>
      <c r="F94" s="112"/>
      <c r="G94" s="120">
        <v>46356</v>
      </c>
      <c r="H94" s="112" t="s">
        <v>405</v>
      </c>
      <c r="I94" s="112"/>
      <c r="J94" s="112"/>
    </row>
    <row r="95" spans="1:10">
      <c r="A95" s="113" t="s">
        <v>199</v>
      </c>
      <c r="B95" s="113" t="s">
        <v>89</v>
      </c>
      <c r="C95" s="113" t="s">
        <v>200</v>
      </c>
      <c r="D95" s="113" t="s">
        <v>201</v>
      </c>
      <c r="E95" s="114" t="s">
        <v>202</v>
      </c>
      <c r="F95" s="10" t="s">
        <v>406</v>
      </c>
      <c r="G95" s="115">
        <v>46203</v>
      </c>
      <c r="H95" s="10"/>
      <c r="I95" s="10"/>
      <c r="J95" s="10"/>
    </row>
    <row r="96" spans="1:10">
      <c r="A96" s="113"/>
      <c r="B96" s="113"/>
      <c r="C96" s="113"/>
      <c r="D96" s="113"/>
      <c r="E96" s="114"/>
      <c r="F96" s="10" t="s">
        <v>407</v>
      </c>
      <c r="G96" s="115">
        <v>46203</v>
      </c>
      <c r="H96" s="10"/>
      <c r="I96" s="10"/>
      <c r="J96" s="10"/>
    </row>
    <row r="97" spans="1:10">
      <c r="A97" s="113"/>
      <c r="B97" s="113"/>
      <c r="C97" s="113"/>
      <c r="D97" s="113"/>
      <c r="E97" s="114"/>
      <c r="F97" s="10" t="s">
        <v>408</v>
      </c>
      <c r="G97" s="115">
        <v>46203</v>
      </c>
      <c r="H97" s="10"/>
      <c r="I97" s="10"/>
      <c r="J97" s="10"/>
    </row>
    <row r="98" spans="1:10">
      <c r="A98" s="113"/>
      <c r="B98" s="113"/>
      <c r="C98" s="113"/>
      <c r="D98" s="113"/>
      <c r="E98" s="114"/>
      <c r="F98" s="10" t="s">
        <v>409</v>
      </c>
      <c r="G98" s="115">
        <v>46203</v>
      </c>
      <c r="H98" s="10"/>
      <c r="I98" s="10"/>
      <c r="J98" s="10"/>
    </row>
    <row r="99" spans="1:10">
      <c r="A99" s="113"/>
      <c r="B99" s="113"/>
      <c r="C99" s="113"/>
      <c r="D99" s="113"/>
      <c r="E99" s="114" t="s">
        <v>205</v>
      </c>
      <c r="F99" s="10" t="s">
        <v>410</v>
      </c>
      <c r="G99" s="115">
        <v>46203</v>
      </c>
      <c r="H99" s="10"/>
      <c r="I99" s="10"/>
      <c r="J99" s="10"/>
    </row>
    <row r="100" spans="1:10">
      <c r="A100" s="113"/>
      <c r="B100" s="113"/>
      <c r="C100" s="113"/>
      <c r="D100" s="113"/>
      <c r="E100" s="114"/>
      <c r="F100" s="10" t="s">
        <v>411</v>
      </c>
      <c r="G100" s="115">
        <v>46203</v>
      </c>
      <c r="H100" s="10"/>
      <c r="I100" s="10"/>
      <c r="J100" s="10"/>
    </row>
    <row r="101" spans="1:10">
      <c r="A101" s="113"/>
      <c r="B101" s="113"/>
      <c r="C101" s="113"/>
      <c r="D101" s="113"/>
      <c r="E101" s="114"/>
      <c r="F101" s="10" t="s">
        <v>412</v>
      </c>
      <c r="G101" s="115">
        <v>46203</v>
      </c>
      <c r="H101" s="10"/>
      <c r="I101" s="10"/>
      <c r="J101" s="10"/>
    </row>
    <row r="102" spans="1:10">
      <c r="A102" s="113"/>
      <c r="B102" s="113"/>
      <c r="C102" s="113"/>
      <c r="D102" s="113"/>
      <c r="E102" s="114"/>
      <c r="F102" s="10" t="s">
        <v>413</v>
      </c>
      <c r="G102" s="115">
        <v>46203</v>
      </c>
      <c r="H102" s="10"/>
      <c r="I102" s="10"/>
      <c r="J102" s="10"/>
    </row>
    <row r="103" spans="1:10">
      <c r="A103" s="113"/>
      <c r="B103" s="113"/>
      <c r="C103" s="113" t="s">
        <v>207</v>
      </c>
      <c r="D103" s="113" t="s">
        <v>89</v>
      </c>
      <c r="E103" s="114" t="s">
        <v>414</v>
      </c>
      <c r="F103" s="10" t="s">
        <v>415</v>
      </c>
      <c r="G103" s="115">
        <v>46142</v>
      </c>
      <c r="H103" s="10"/>
      <c r="I103" s="10"/>
      <c r="J103" s="10"/>
    </row>
    <row r="104" spans="1:10">
      <c r="A104" s="113"/>
      <c r="B104" s="113"/>
      <c r="C104" s="113"/>
      <c r="D104" s="113"/>
      <c r="E104" s="114"/>
      <c r="F104" s="10" t="s">
        <v>416</v>
      </c>
      <c r="G104" s="115">
        <v>46173</v>
      </c>
      <c r="H104" s="10"/>
      <c r="I104" s="10"/>
      <c r="J104" s="10"/>
    </row>
    <row r="105" spans="1:10">
      <c r="A105" s="113"/>
      <c r="B105" s="113"/>
      <c r="C105" s="113"/>
      <c r="D105" s="113"/>
      <c r="E105" s="114"/>
      <c r="F105" s="10" t="s">
        <v>417</v>
      </c>
      <c r="G105" s="115">
        <v>46203</v>
      </c>
      <c r="H105" s="10"/>
      <c r="I105" s="10"/>
      <c r="J105" s="10"/>
    </row>
    <row r="106" ht="22.5" spans="1:10">
      <c r="A106" s="113"/>
      <c r="B106" s="113"/>
      <c r="C106" s="113"/>
      <c r="D106" s="113"/>
      <c r="E106" s="114"/>
      <c r="F106" s="10" t="s">
        <v>418</v>
      </c>
      <c r="G106" s="115">
        <v>46234</v>
      </c>
      <c r="H106" s="10"/>
      <c r="I106" s="10"/>
      <c r="J106" s="10"/>
    </row>
    <row r="107" ht="33.75" spans="1:10">
      <c r="A107" s="113"/>
      <c r="B107" s="113"/>
      <c r="C107" s="113"/>
      <c r="D107" s="113"/>
      <c r="E107" s="114"/>
      <c r="F107" s="10" t="s">
        <v>419</v>
      </c>
      <c r="G107" s="115">
        <v>46234</v>
      </c>
      <c r="H107" s="10"/>
      <c r="I107" s="10"/>
      <c r="J107" s="10"/>
    </row>
    <row r="108" spans="1:10">
      <c r="A108" s="113"/>
      <c r="B108" s="113"/>
      <c r="C108" s="113"/>
      <c r="D108" s="113"/>
      <c r="E108" s="114" t="s">
        <v>420</v>
      </c>
      <c r="F108" s="10" t="s">
        <v>421</v>
      </c>
      <c r="G108" s="115">
        <v>46142</v>
      </c>
      <c r="H108" s="10"/>
      <c r="I108" s="10"/>
      <c r="J108" s="10"/>
    </row>
    <row r="109" spans="1:10">
      <c r="A109" s="113"/>
      <c r="B109" s="113"/>
      <c r="C109" s="113"/>
      <c r="D109" s="113"/>
      <c r="E109" s="114"/>
      <c r="F109" s="10" t="s">
        <v>422</v>
      </c>
      <c r="G109" s="115">
        <v>46173</v>
      </c>
      <c r="H109" s="10"/>
      <c r="I109" s="10"/>
      <c r="J109" s="10"/>
    </row>
    <row r="110" spans="1:10">
      <c r="A110" s="113"/>
      <c r="B110" s="113"/>
      <c r="C110" s="113"/>
      <c r="D110" s="113"/>
      <c r="E110" s="114"/>
      <c r="F110" s="10" t="s">
        <v>423</v>
      </c>
      <c r="G110" s="115">
        <v>46203</v>
      </c>
      <c r="H110" s="10"/>
      <c r="I110" s="10"/>
      <c r="J110" s="10"/>
    </row>
    <row r="111" ht="22.5" spans="1:10">
      <c r="A111" s="113"/>
      <c r="B111" s="113"/>
      <c r="C111" s="113"/>
      <c r="D111" s="113"/>
      <c r="E111" s="114"/>
      <c r="F111" s="10" t="s">
        <v>424</v>
      </c>
      <c r="G111" s="115">
        <v>46234</v>
      </c>
      <c r="H111" s="10"/>
      <c r="I111" s="10"/>
      <c r="J111" s="10"/>
    </row>
    <row r="112" ht="33.75" spans="1:10">
      <c r="A112" s="113"/>
      <c r="B112" s="113"/>
      <c r="C112" s="113"/>
      <c r="D112" s="113"/>
      <c r="E112" s="114"/>
      <c r="F112" s="10" t="s">
        <v>425</v>
      </c>
      <c r="G112" s="115">
        <v>46234</v>
      </c>
      <c r="H112" s="10"/>
      <c r="I112" s="10"/>
      <c r="J112" s="10"/>
    </row>
    <row r="113" ht="22.5" spans="1:10">
      <c r="A113" s="7" t="s">
        <v>217</v>
      </c>
      <c r="B113" s="121" t="s">
        <v>218</v>
      </c>
      <c r="C113" s="121" t="s">
        <v>25</v>
      </c>
      <c r="D113" s="121" t="s">
        <v>218</v>
      </c>
      <c r="E113" s="7" t="s">
        <v>219</v>
      </c>
      <c r="F113" s="112" t="s">
        <v>426</v>
      </c>
      <c r="G113" s="120">
        <v>46112</v>
      </c>
      <c r="H113" s="112"/>
      <c r="I113" s="112"/>
      <c r="J113" s="112"/>
    </row>
    <row r="114" ht="22.5" spans="1:10">
      <c r="A114" s="7" t="s">
        <v>217</v>
      </c>
      <c r="B114" s="121" t="s">
        <v>218</v>
      </c>
      <c r="C114" s="121" t="s">
        <v>25</v>
      </c>
      <c r="D114" s="121" t="s">
        <v>218</v>
      </c>
      <c r="E114" s="7" t="s">
        <v>219</v>
      </c>
      <c r="F114" s="112" t="s">
        <v>427</v>
      </c>
      <c r="G114" s="120">
        <v>46203</v>
      </c>
      <c r="H114" s="112"/>
      <c r="I114" s="112"/>
      <c r="J114" s="112"/>
    </row>
    <row r="115" ht="22.5" spans="1:10">
      <c r="A115" s="7" t="s">
        <v>217</v>
      </c>
      <c r="B115" s="121" t="s">
        <v>218</v>
      </c>
      <c r="C115" s="121" t="s">
        <v>25</v>
      </c>
      <c r="D115" s="121" t="s">
        <v>218</v>
      </c>
      <c r="E115" s="7" t="s">
        <v>219</v>
      </c>
      <c r="F115" s="122" t="s">
        <v>428</v>
      </c>
      <c r="G115" s="120">
        <v>46295</v>
      </c>
      <c r="H115" s="112"/>
      <c r="I115" s="112"/>
      <c r="J115" s="112"/>
    </row>
    <row r="116" ht="22.5" spans="1:10">
      <c r="A116" s="7" t="s">
        <v>217</v>
      </c>
      <c r="B116" s="121" t="s">
        <v>218</v>
      </c>
      <c r="C116" s="121" t="s">
        <v>25</v>
      </c>
      <c r="D116" s="121" t="s">
        <v>218</v>
      </c>
      <c r="E116" s="7" t="s">
        <v>219</v>
      </c>
      <c r="F116" s="122" t="s">
        <v>429</v>
      </c>
      <c r="G116" s="120">
        <v>46356</v>
      </c>
      <c r="H116" s="112"/>
      <c r="I116" s="112"/>
      <c r="J116" s="112"/>
    </row>
    <row r="117" ht="22.5" spans="1:10">
      <c r="A117" s="113" t="s">
        <v>222</v>
      </c>
      <c r="B117" s="113" t="s">
        <v>223</v>
      </c>
      <c r="C117" s="113" t="s">
        <v>224</v>
      </c>
      <c r="D117" s="113" t="s">
        <v>223</v>
      </c>
      <c r="E117" s="114" t="s">
        <v>225</v>
      </c>
      <c r="F117" s="10" t="s">
        <v>430</v>
      </c>
      <c r="G117" s="115">
        <v>46203</v>
      </c>
      <c r="H117" s="10"/>
      <c r="I117" s="10"/>
      <c r="J117" s="10"/>
    </row>
    <row r="118" spans="1:10">
      <c r="A118" s="113"/>
      <c r="B118" s="113"/>
      <c r="C118" s="113"/>
      <c r="D118" s="113"/>
      <c r="E118" s="114"/>
      <c r="F118" s="114" t="s">
        <v>431</v>
      </c>
      <c r="G118" s="123">
        <v>46234</v>
      </c>
      <c r="H118" s="114"/>
      <c r="I118" s="114"/>
      <c r="J118" s="114"/>
    </row>
    <row r="119" spans="1:10">
      <c r="A119" s="113"/>
      <c r="B119" s="113"/>
      <c r="C119" s="113"/>
      <c r="D119" s="113"/>
      <c r="E119" s="114"/>
      <c r="F119" s="114" t="s">
        <v>432</v>
      </c>
      <c r="G119" s="115">
        <v>46265</v>
      </c>
      <c r="H119" s="114"/>
      <c r="I119" s="114"/>
      <c r="J119" s="114"/>
    </row>
    <row r="120" spans="1:10">
      <c r="A120" s="113"/>
      <c r="B120" s="113"/>
      <c r="C120" s="113"/>
      <c r="D120" s="113"/>
      <c r="E120" s="114"/>
      <c r="F120" s="114" t="s">
        <v>433</v>
      </c>
      <c r="G120" s="123">
        <v>46295</v>
      </c>
      <c r="H120" s="114"/>
      <c r="I120" s="114"/>
      <c r="J120" s="114"/>
    </row>
    <row r="121" spans="1:10">
      <c r="A121" s="113"/>
      <c r="B121" s="113"/>
      <c r="C121" s="113"/>
      <c r="D121" s="113"/>
      <c r="E121" s="114"/>
      <c r="F121" s="114" t="s">
        <v>434</v>
      </c>
      <c r="G121" s="115">
        <v>46326</v>
      </c>
      <c r="H121" s="114"/>
      <c r="I121" s="114"/>
      <c r="J121" s="114"/>
    </row>
    <row r="122" spans="1:10">
      <c r="A122" s="113"/>
      <c r="B122" s="113"/>
      <c r="C122" s="113"/>
      <c r="D122" s="113"/>
      <c r="E122" s="114"/>
      <c r="F122" s="114" t="s">
        <v>435</v>
      </c>
      <c r="G122" s="123">
        <v>46356</v>
      </c>
      <c r="H122" s="114"/>
      <c r="I122" s="114"/>
      <c r="J122" s="114"/>
    </row>
    <row r="123" spans="1:10">
      <c r="A123" s="113"/>
      <c r="B123" s="113"/>
      <c r="C123" s="113"/>
      <c r="D123" s="113"/>
      <c r="E123" s="114"/>
      <c r="F123" s="114" t="s">
        <v>436</v>
      </c>
      <c r="G123" s="115">
        <v>46387</v>
      </c>
      <c r="H123" s="114"/>
      <c r="I123" s="114"/>
      <c r="J123" s="114"/>
    </row>
    <row r="124" ht="22.5" spans="1:10">
      <c r="A124" s="113"/>
      <c r="B124" s="113" t="s">
        <v>223</v>
      </c>
      <c r="C124" s="113" t="s">
        <v>227</v>
      </c>
      <c r="D124" s="113" t="s">
        <v>43</v>
      </c>
      <c r="E124" s="114" t="s">
        <v>437</v>
      </c>
      <c r="F124" s="114" t="s">
        <v>438</v>
      </c>
      <c r="G124" s="123">
        <v>46112</v>
      </c>
      <c r="H124" s="114"/>
      <c r="I124" s="114"/>
      <c r="J124" s="114"/>
    </row>
    <row r="125" ht="22.5" spans="1:10">
      <c r="A125" s="113"/>
      <c r="B125" s="113"/>
      <c r="C125" s="113"/>
      <c r="D125" s="113"/>
      <c r="E125" s="114"/>
      <c r="F125" s="114" t="s">
        <v>439</v>
      </c>
      <c r="G125" s="115">
        <v>46142</v>
      </c>
      <c r="H125" s="114"/>
      <c r="I125" s="114"/>
      <c r="J125" s="114"/>
    </row>
    <row r="126" ht="22.5" spans="1:10">
      <c r="A126" s="113"/>
      <c r="B126" s="113"/>
      <c r="C126" s="113"/>
      <c r="D126" s="113"/>
      <c r="E126" s="114"/>
      <c r="F126" s="114" t="s">
        <v>440</v>
      </c>
      <c r="G126" s="123">
        <v>46173</v>
      </c>
      <c r="H126" s="114"/>
      <c r="I126" s="114"/>
      <c r="J126" s="114"/>
    </row>
    <row r="127" ht="22.5" spans="1:10">
      <c r="A127" s="113"/>
      <c r="B127" s="113"/>
      <c r="C127" s="113"/>
      <c r="D127" s="113"/>
      <c r="E127" s="114"/>
      <c r="F127" s="114" t="s">
        <v>441</v>
      </c>
      <c r="G127" s="115">
        <v>46203</v>
      </c>
      <c r="H127" s="114"/>
      <c r="I127" s="114"/>
      <c r="J127" s="114"/>
    </row>
    <row r="128" ht="22.5" spans="1:10">
      <c r="A128" s="113"/>
      <c r="B128" s="113"/>
      <c r="C128" s="113"/>
      <c r="D128" s="113"/>
      <c r="E128" s="114"/>
      <c r="F128" s="114" t="s">
        <v>441</v>
      </c>
      <c r="G128" s="123">
        <v>46234</v>
      </c>
      <c r="H128" s="114"/>
      <c r="I128" s="114"/>
      <c r="J128" s="114"/>
    </row>
    <row r="129" ht="22.5" spans="1:10">
      <c r="A129" s="113"/>
      <c r="B129" s="113"/>
      <c r="C129" s="113"/>
      <c r="D129" s="113"/>
      <c r="E129" s="114"/>
      <c r="F129" s="114" t="s">
        <v>441</v>
      </c>
      <c r="G129" s="115">
        <v>46265</v>
      </c>
      <c r="H129" s="114"/>
      <c r="I129" s="114"/>
      <c r="J129" s="114"/>
    </row>
    <row r="130" ht="22.5" spans="1:10">
      <c r="A130" s="113"/>
      <c r="B130" s="113"/>
      <c r="C130" s="113"/>
      <c r="D130" s="113"/>
      <c r="E130" s="114"/>
      <c r="F130" s="114" t="s">
        <v>441</v>
      </c>
      <c r="G130" s="123">
        <v>46295</v>
      </c>
      <c r="H130" s="114"/>
      <c r="I130" s="114"/>
      <c r="J130" s="114"/>
    </row>
    <row r="131" ht="22.5" spans="1:10">
      <c r="A131" s="113"/>
      <c r="B131" s="113"/>
      <c r="C131" s="113"/>
      <c r="D131" s="113"/>
      <c r="E131" s="114"/>
      <c r="F131" s="114" t="s">
        <v>441</v>
      </c>
      <c r="G131" s="115">
        <v>46326</v>
      </c>
      <c r="H131" s="114"/>
      <c r="I131" s="114"/>
      <c r="J131" s="114"/>
    </row>
    <row r="132" ht="22.5" spans="1:10">
      <c r="A132" s="113"/>
      <c r="B132" s="113"/>
      <c r="C132" s="113"/>
      <c r="D132" s="113"/>
      <c r="E132" s="114"/>
      <c r="F132" s="114" t="s">
        <v>441</v>
      </c>
      <c r="G132" s="123">
        <v>46356</v>
      </c>
      <c r="H132" s="114"/>
      <c r="I132" s="114"/>
      <c r="J132" s="114"/>
    </row>
    <row r="133" ht="22.5" spans="1:10">
      <c r="A133" s="113"/>
      <c r="B133" s="113"/>
      <c r="C133" s="113"/>
      <c r="D133" s="113"/>
      <c r="E133" s="114"/>
      <c r="F133" s="114" t="s">
        <v>441</v>
      </c>
      <c r="G133" s="115">
        <v>46387</v>
      </c>
      <c r="H133" s="114"/>
      <c r="I133" s="114"/>
      <c r="J133" s="114"/>
    </row>
    <row r="134" ht="56.25" spans="1:10">
      <c r="A134" s="124" t="s">
        <v>242</v>
      </c>
      <c r="B134" s="124" t="s">
        <v>243</v>
      </c>
      <c r="C134" s="124" t="s">
        <v>25</v>
      </c>
      <c r="D134" s="124" t="s">
        <v>243</v>
      </c>
      <c r="E134" s="124" t="s">
        <v>244</v>
      </c>
      <c r="F134" s="122" t="s">
        <v>442</v>
      </c>
      <c r="G134" s="120">
        <v>46112</v>
      </c>
      <c r="H134" s="112"/>
      <c r="I134" s="112"/>
      <c r="J134" s="112"/>
    </row>
    <row r="135" s="106" customFormat="1" ht="56.25" spans="1:10">
      <c r="A135" s="124"/>
      <c r="B135" s="124"/>
      <c r="C135" s="124"/>
      <c r="D135" s="124"/>
      <c r="E135" s="124"/>
      <c r="F135" s="125" t="s">
        <v>443</v>
      </c>
      <c r="G135" s="126">
        <v>46142</v>
      </c>
      <c r="H135" s="125"/>
      <c r="I135" s="125"/>
      <c r="J135" s="125"/>
    </row>
    <row r="136" s="106" customFormat="1" spans="1:10">
      <c r="A136" s="124"/>
      <c r="B136" s="124"/>
      <c r="C136" s="124"/>
      <c r="D136" s="124"/>
      <c r="E136" s="124"/>
      <c r="F136" s="125" t="s">
        <v>444</v>
      </c>
      <c r="G136" s="120">
        <v>46173</v>
      </c>
      <c r="H136" s="125"/>
      <c r="I136" s="125"/>
      <c r="J136" s="125"/>
    </row>
    <row r="137" s="106" customFormat="1" ht="56.25" spans="1:10">
      <c r="A137" s="124"/>
      <c r="B137" s="124"/>
      <c r="C137" s="124"/>
      <c r="D137" s="124"/>
      <c r="E137" s="124"/>
      <c r="F137" s="125" t="s">
        <v>445</v>
      </c>
      <c r="G137" s="126">
        <v>46203</v>
      </c>
      <c r="H137" s="125"/>
      <c r="I137" s="125"/>
      <c r="J137" s="125"/>
    </row>
    <row r="138" s="106" customFormat="1" spans="1:10">
      <c r="A138" s="124"/>
      <c r="B138" s="124"/>
      <c r="C138" s="124"/>
      <c r="D138" s="124"/>
      <c r="E138" s="124"/>
      <c r="F138" s="125" t="s">
        <v>444</v>
      </c>
      <c r="G138" s="120">
        <v>46234</v>
      </c>
      <c r="H138" s="125"/>
      <c r="I138" s="125"/>
      <c r="J138" s="125"/>
    </row>
    <row r="139" s="106" customFormat="1" spans="1:10">
      <c r="A139" s="124"/>
      <c r="B139" s="124"/>
      <c r="C139" s="124"/>
      <c r="D139" s="124"/>
      <c r="E139" s="124"/>
      <c r="F139" s="127" t="s">
        <v>444</v>
      </c>
      <c r="G139" s="126">
        <v>46265</v>
      </c>
      <c r="H139" s="127"/>
      <c r="I139" s="127"/>
      <c r="J139" s="127"/>
    </row>
    <row r="140" s="106" customFormat="1" ht="33.75" spans="1:10">
      <c r="A140" s="124"/>
      <c r="B140" s="124"/>
      <c r="C140" s="124"/>
      <c r="D140" s="124"/>
      <c r="E140" s="124"/>
      <c r="F140" s="127" t="s">
        <v>446</v>
      </c>
      <c r="G140" s="120">
        <v>46295</v>
      </c>
      <c r="H140" s="127"/>
      <c r="I140" s="127"/>
      <c r="J140" s="127"/>
    </row>
    <row r="141" s="106" customFormat="1" spans="1:10">
      <c r="A141" s="124"/>
      <c r="B141" s="124"/>
      <c r="C141" s="124"/>
      <c r="D141" s="124"/>
      <c r="E141" s="124"/>
      <c r="F141" s="127" t="s">
        <v>444</v>
      </c>
      <c r="G141" s="126">
        <v>46326</v>
      </c>
      <c r="H141" s="127"/>
      <c r="I141" s="127"/>
      <c r="J141" s="127"/>
    </row>
    <row r="142" s="106" customFormat="1" spans="1:10">
      <c r="A142" s="124"/>
      <c r="B142" s="124"/>
      <c r="C142" s="124"/>
      <c r="D142" s="124"/>
      <c r="E142" s="124"/>
      <c r="F142" s="127" t="s">
        <v>444</v>
      </c>
      <c r="G142" s="120">
        <v>46356</v>
      </c>
      <c r="H142" s="127"/>
      <c r="I142" s="127"/>
      <c r="J142" s="127"/>
    </row>
    <row r="143" s="106" customFormat="1" ht="33.75" spans="1:10">
      <c r="A143" s="124"/>
      <c r="B143" s="124"/>
      <c r="C143" s="124"/>
      <c r="D143" s="124"/>
      <c r="E143" s="124"/>
      <c r="F143" s="127" t="s">
        <v>447</v>
      </c>
      <c r="G143" s="126">
        <v>46387</v>
      </c>
      <c r="H143" s="127"/>
      <c r="I143" s="127"/>
      <c r="J143" s="127"/>
    </row>
    <row r="144" s="106" customFormat="1" ht="22.5" spans="1:10">
      <c r="A144" s="113" t="s">
        <v>247</v>
      </c>
      <c r="B144" s="113" t="s">
        <v>243</v>
      </c>
      <c r="C144" s="113" t="s">
        <v>25</v>
      </c>
      <c r="D144" s="113" t="s">
        <v>243</v>
      </c>
      <c r="E144" s="113" t="s">
        <v>248</v>
      </c>
      <c r="F144" s="114" t="s">
        <v>448</v>
      </c>
      <c r="G144" s="115">
        <v>46112</v>
      </c>
      <c r="H144" s="114" t="s">
        <v>449</v>
      </c>
      <c r="I144" s="114"/>
      <c r="J144" s="114"/>
    </row>
    <row r="145" s="106" customFormat="1" ht="33.75" spans="1:10">
      <c r="A145" s="113"/>
      <c r="B145" s="113"/>
      <c r="C145" s="113"/>
      <c r="D145" s="113"/>
      <c r="E145" s="113"/>
      <c r="F145" s="114"/>
      <c r="G145" s="115">
        <v>46142</v>
      </c>
      <c r="H145" s="114" t="s">
        <v>450</v>
      </c>
      <c r="I145" s="114"/>
      <c r="J145" s="114"/>
    </row>
    <row r="146" spans="1:10">
      <c r="A146" s="113"/>
      <c r="B146" s="113"/>
      <c r="C146" s="113"/>
      <c r="D146" s="113"/>
      <c r="E146" s="113"/>
      <c r="F146" s="114" t="s">
        <v>255</v>
      </c>
      <c r="G146" s="115">
        <v>46203</v>
      </c>
      <c r="H146" s="114"/>
      <c r="I146" s="114"/>
      <c r="J146" s="114"/>
    </row>
    <row r="147" ht="22.5" spans="1:10">
      <c r="A147" s="113"/>
      <c r="B147" s="113"/>
      <c r="C147" s="113"/>
      <c r="D147" s="113"/>
      <c r="E147" s="113"/>
      <c r="F147" s="114" t="s">
        <v>451</v>
      </c>
      <c r="G147" s="115">
        <v>46264</v>
      </c>
      <c r="H147" s="114" t="s">
        <v>452</v>
      </c>
      <c r="I147" s="114"/>
      <c r="J147" s="114"/>
    </row>
    <row r="148" ht="22.5" spans="1:10">
      <c r="A148" s="108" t="s">
        <v>258</v>
      </c>
      <c r="B148" s="108" t="s">
        <v>259</v>
      </c>
      <c r="C148" s="124" t="s">
        <v>25</v>
      </c>
      <c r="D148" s="108" t="s">
        <v>259</v>
      </c>
      <c r="E148" s="108" t="s">
        <v>260</v>
      </c>
      <c r="F148" s="128" t="s">
        <v>453</v>
      </c>
      <c r="G148" s="126">
        <v>46112</v>
      </c>
      <c r="H148" s="112"/>
      <c r="I148" s="112"/>
      <c r="J148" s="112"/>
    </row>
    <row r="149" ht="22.5" spans="1:10">
      <c r="A149" s="108"/>
      <c r="B149" s="108"/>
      <c r="C149" s="124"/>
      <c r="D149" s="108"/>
      <c r="E149" s="108"/>
      <c r="F149" s="128" t="s">
        <v>454</v>
      </c>
      <c r="G149" s="126">
        <v>46112</v>
      </c>
      <c r="H149" s="112"/>
      <c r="I149" s="112"/>
      <c r="J149" s="112"/>
    </row>
    <row r="150" ht="33.75" spans="1:10">
      <c r="A150" s="108"/>
      <c r="B150" s="108"/>
      <c r="C150" s="124"/>
      <c r="D150" s="108"/>
      <c r="E150" s="108"/>
      <c r="F150" s="128" t="s">
        <v>455</v>
      </c>
      <c r="G150" s="126">
        <v>46112</v>
      </c>
      <c r="H150" s="112"/>
      <c r="I150" s="112"/>
      <c r="J150" s="112"/>
    </row>
    <row r="151" spans="1:10">
      <c r="A151" s="108"/>
      <c r="B151" s="108"/>
      <c r="C151" s="124"/>
      <c r="D151" s="108"/>
      <c r="E151" s="108"/>
      <c r="F151" s="129" t="s">
        <v>456</v>
      </c>
      <c r="G151" s="126">
        <v>46112</v>
      </c>
      <c r="H151" s="112" t="s">
        <v>457</v>
      </c>
      <c r="I151" s="112"/>
      <c r="J151" s="112"/>
    </row>
    <row r="152" spans="1:10">
      <c r="A152" s="108"/>
      <c r="B152" s="108"/>
      <c r="C152" s="124"/>
      <c r="D152" s="108"/>
      <c r="E152" s="108"/>
      <c r="F152" s="129"/>
      <c r="G152" s="126">
        <v>46203</v>
      </c>
      <c r="H152" s="112" t="s">
        <v>457</v>
      </c>
      <c r="I152" s="112"/>
      <c r="J152" s="112"/>
    </row>
    <row r="153" spans="1:10">
      <c r="A153" s="108"/>
      <c r="B153" s="108"/>
      <c r="C153" s="124"/>
      <c r="D153" s="108"/>
      <c r="E153" s="108"/>
      <c r="F153" s="129"/>
      <c r="G153" s="126">
        <v>46295</v>
      </c>
      <c r="H153" s="112" t="s">
        <v>457</v>
      </c>
      <c r="I153" s="112"/>
      <c r="J153" s="112"/>
    </row>
    <row r="154" ht="22.5" spans="1:10">
      <c r="A154" s="108"/>
      <c r="B154" s="108"/>
      <c r="C154" s="124"/>
      <c r="D154" s="108"/>
      <c r="E154" s="108"/>
      <c r="F154" s="129"/>
      <c r="G154" s="126">
        <v>46142</v>
      </c>
      <c r="H154" s="112" t="s">
        <v>458</v>
      </c>
      <c r="I154" s="112"/>
      <c r="J154" s="112"/>
    </row>
    <row r="155" ht="22.5" spans="1:10">
      <c r="A155" s="108"/>
      <c r="B155" s="108"/>
      <c r="C155" s="124"/>
      <c r="D155" s="108"/>
      <c r="E155" s="108"/>
      <c r="F155" s="129"/>
      <c r="G155" s="120">
        <v>46173</v>
      </c>
      <c r="H155" s="112" t="s">
        <v>459</v>
      </c>
      <c r="I155" s="112"/>
      <c r="J155" s="112"/>
    </row>
    <row r="156" spans="1:10">
      <c r="A156" s="113" t="s">
        <v>265</v>
      </c>
      <c r="B156" s="113" t="s">
        <v>259</v>
      </c>
      <c r="C156" s="113" t="s">
        <v>25</v>
      </c>
      <c r="D156" s="113" t="s">
        <v>259</v>
      </c>
      <c r="E156" s="113" t="s">
        <v>266</v>
      </c>
      <c r="F156" s="113" t="s">
        <v>451</v>
      </c>
      <c r="G156" s="115">
        <v>46142</v>
      </c>
      <c r="H156" s="114" t="s">
        <v>460</v>
      </c>
      <c r="I156" s="114"/>
      <c r="J156" s="114"/>
    </row>
    <row r="157" spans="1:10">
      <c r="A157" s="113"/>
      <c r="B157" s="113"/>
      <c r="C157" s="113"/>
      <c r="D157" s="113"/>
      <c r="E157" s="113"/>
      <c r="F157" s="113"/>
      <c r="G157" s="115">
        <v>46157</v>
      </c>
      <c r="H157" s="114" t="s">
        <v>461</v>
      </c>
      <c r="I157" s="114"/>
      <c r="J157" s="114"/>
    </row>
    <row r="158" spans="1:10">
      <c r="A158" s="113"/>
      <c r="B158" s="113"/>
      <c r="C158" s="113"/>
      <c r="D158" s="113"/>
      <c r="E158" s="113"/>
      <c r="F158" s="113"/>
      <c r="G158" s="115">
        <v>46203</v>
      </c>
      <c r="H158" s="114" t="s">
        <v>462</v>
      </c>
      <c r="I158" s="114"/>
      <c r="J158" s="114"/>
    </row>
  </sheetData>
  <mergeCells count="110">
    <mergeCell ref="A2:A22"/>
    <mergeCell ref="A23:A31"/>
    <mergeCell ref="A32:A37"/>
    <mergeCell ref="A38:A71"/>
    <mergeCell ref="A72:A77"/>
    <mergeCell ref="A78:A80"/>
    <mergeCell ref="A81:A94"/>
    <mergeCell ref="A95:A112"/>
    <mergeCell ref="A117:A133"/>
    <mergeCell ref="A134:A143"/>
    <mergeCell ref="A144:A147"/>
    <mergeCell ref="A148:A155"/>
    <mergeCell ref="A156:A158"/>
    <mergeCell ref="B2:B22"/>
    <mergeCell ref="B23:B31"/>
    <mergeCell ref="B32:B37"/>
    <mergeCell ref="B38:B71"/>
    <mergeCell ref="B72:B77"/>
    <mergeCell ref="B78:B80"/>
    <mergeCell ref="B81:B94"/>
    <mergeCell ref="B95:B112"/>
    <mergeCell ref="B117:B123"/>
    <mergeCell ref="B124:B133"/>
    <mergeCell ref="B134:B143"/>
    <mergeCell ref="B144:B147"/>
    <mergeCell ref="B148:B155"/>
    <mergeCell ref="B156:B158"/>
    <mergeCell ref="C2:C22"/>
    <mergeCell ref="C23:C31"/>
    <mergeCell ref="C32:C37"/>
    <mergeCell ref="C38:C40"/>
    <mergeCell ref="C41:C51"/>
    <mergeCell ref="C52:C56"/>
    <mergeCell ref="C57:C60"/>
    <mergeCell ref="C61:C71"/>
    <mergeCell ref="C72:C74"/>
    <mergeCell ref="C75:C77"/>
    <mergeCell ref="C78:C80"/>
    <mergeCell ref="C81:C94"/>
    <mergeCell ref="C95:C102"/>
    <mergeCell ref="C103:C112"/>
    <mergeCell ref="C117:C123"/>
    <mergeCell ref="C124:C133"/>
    <mergeCell ref="C134:C143"/>
    <mergeCell ref="C144:C147"/>
    <mergeCell ref="C148:C155"/>
    <mergeCell ref="C156:C158"/>
    <mergeCell ref="D2:D22"/>
    <mergeCell ref="D23:D31"/>
    <mergeCell ref="D32:D37"/>
    <mergeCell ref="D38:D40"/>
    <mergeCell ref="D41:D51"/>
    <mergeCell ref="D52:D56"/>
    <mergeCell ref="D57:D60"/>
    <mergeCell ref="D61:D71"/>
    <mergeCell ref="D72:D74"/>
    <mergeCell ref="D75:D77"/>
    <mergeCell ref="D78:D80"/>
    <mergeCell ref="D81:D94"/>
    <mergeCell ref="D95:D102"/>
    <mergeCell ref="D103:D112"/>
    <mergeCell ref="D117:D123"/>
    <mergeCell ref="D124:D133"/>
    <mergeCell ref="D134:D143"/>
    <mergeCell ref="D144:D147"/>
    <mergeCell ref="D148:D155"/>
    <mergeCell ref="D156:D158"/>
    <mergeCell ref="E2:E22"/>
    <mergeCell ref="E23:E31"/>
    <mergeCell ref="E32:E33"/>
    <mergeCell ref="E34:E35"/>
    <mergeCell ref="E36:E37"/>
    <mergeCell ref="E38:E40"/>
    <mergeCell ref="E41:E46"/>
    <mergeCell ref="E47:E51"/>
    <mergeCell ref="E52:E56"/>
    <mergeCell ref="E57:E60"/>
    <mergeCell ref="E61:E71"/>
    <mergeCell ref="E72:E74"/>
    <mergeCell ref="E75:E77"/>
    <mergeCell ref="E78:E80"/>
    <mergeCell ref="E81:E86"/>
    <mergeCell ref="E87:E94"/>
    <mergeCell ref="E95:E98"/>
    <mergeCell ref="E99:E102"/>
    <mergeCell ref="E103:E107"/>
    <mergeCell ref="E108:E112"/>
    <mergeCell ref="E117:E123"/>
    <mergeCell ref="E124:E133"/>
    <mergeCell ref="E134:E143"/>
    <mergeCell ref="E144:E147"/>
    <mergeCell ref="E148:E155"/>
    <mergeCell ref="E156:E158"/>
    <mergeCell ref="F2:F6"/>
    <mergeCell ref="F7:F16"/>
    <mergeCell ref="F17:F22"/>
    <mergeCell ref="F23:F25"/>
    <mergeCell ref="F26:F27"/>
    <mergeCell ref="F28:F31"/>
    <mergeCell ref="F41:F46"/>
    <mergeCell ref="F47:F51"/>
    <mergeCell ref="F62:F65"/>
    <mergeCell ref="F66:F67"/>
    <mergeCell ref="F68:F69"/>
    <mergeCell ref="F70:F71"/>
    <mergeCell ref="F88:F90"/>
    <mergeCell ref="F91:F94"/>
    <mergeCell ref="F144:F145"/>
    <mergeCell ref="F151:F155"/>
    <mergeCell ref="F156:F158"/>
  </mergeCells>
  <dataValidations count="1">
    <dataValidation type="list" allowBlank="1" showInputMessage="1" showErrorMessage="1" sqref="I2:I158">
      <formula1>"未开始,进行中,已完成,已延期,已阻塞"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8"/>
  <sheetViews>
    <sheetView topLeftCell="A293" workbookViewId="0">
      <selection activeCell="D315" sqref="D315"/>
    </sheetView>
  </sheetViews>
  <sheetFormatPr defaultColWidth="9" defaultRowHeight="13.5" outlineLevelCol="7"/>
  <cols>
    <col min="1" max="1" width="6" style="67" customWidth="1"/>
    <col min="2" max="2" width="14.4159292035398" style="67" customWidth="1"/>
    <col min="3" max="3" width="8.49557522123894" style="67" customWidth="1"/>
    <col min="4" max="4" width="65.9823008849557" style="67" customWidth="1"/>
    <col min="5" max="5" width="12.353982300885" style="67" customWidth="1"/>
    <col min="6" max="6" width="15.4690265486726" style="67" customWidth="1"/>
    <col min="7" max="7" width="16.8053097345133" style="67" customWidth="1"/>
    <col min="8" max="8" width="28.9469026548673" style="67" customWidth="1"/>
    <col min="9" max="16384" width="9" style="67"/>
  </cols>
  <sheetData>
    <row r="1" s="67" customFormat="1" ht="22" customHeight="1" spans="1:8">
      <c r="A1" s="69" t="s">
        <v>463</v>
      </c>
      <c r="B1" s="69" t="s">
        <v>464</v>
      </c>
      <c r="C1" s="69" t="s">
        <v>465</v>
      </c>
      <c r="D1" s="69" t="s">
        <v>466</v>
      </c>
      <c r="E1" s="69" t="s">
        <v>467</v>
      </c>
      <c r="F1" s="69" t="s">
        <v>468</v>
      </c>
      <c r="G1" s="69" t="s">
        <v>469</v>
      </c>
      <c r="H1" s="69" t="s">
        <v>470</v>
      </c>
    </row>
    <row r="2" s="67" customFormat="1" ht="22" customHeight="1" spans="1:8">
      <c r="A2" s="70">
        <v>1</v>
      </c>
      <c r="B2" s="70" t="s">
        <v>23</v>
      </c>
      <c r="C2" s="70" t="s">
        <v>471</v>
      </c>
      <c r="D2" s="71" t="s">
        <v>279</v>
      </c>
      <c r="E2" s="71"/>
      <c r="F2" s="72">
        <v>46203</v>
      </c>
      <c r="G2" s="72" t="s">
        <v>472</v>
      </c>
      <c r="H2" s="71"/>
    </row>
    <row r="3" s="67" customFormat="1" ht="22" customHeight="1" spans="1:8">
      <c r="A3" s="70">
        <v>2</v>
      </c>
      <c r="B3" s="70" t="s">
        <v>23</v>
      </c>
      <c r="C3" s="70" t="s">
        <v>471</v>
      </c>
      <c r="D3" s="71" t="s">
        <v>473</v>
      </c>
      <c r="E3" s="71"/>
      <c r="F3" s="72">
        <v>46387</v>
      </c>
      <c r="G3" s="72" t="s">
        <v>472</v>
      </c>
      <c r="H3" s="71"/>
    </row>
    <row r="4" s="67" customFormat="1" ht="22" customHeight="1" spans="1:8">
      <c r="A4" s="70">
        <v>3</v>
      </c>
      <c r="B4" s="70" t="s">
        <v>23</v>
      </c>
      <c r="C4" s="70" t="s">
        <v>471</v>
      </c>
      <c r="D4" s="71" t="s">
        <v>474</v>
      </c>
      <c r="E4" s="71"/>
      <c r="F4" s="72">
        <v>46142</v>
      </c>
      <c r="G4" s="72" t="s">
        <v>472</v>
      </c>
      <c r="H4" s="71"/>
    </row>
    <row r="5" s="67" customFormat="1" ht="22" customHeight="1" spans="1:8">
      <c r="A5" s="70">
        <v>4</v>
      </c>
      <c r="B5" s="70" t="s">
        <v>23</v>
      </c>
      <c r="C5" s="70" t="s">
        <v>471</v>
      </c>
      <c r="D5" s="71" t="s">
        <v>475</v>
      </c>
      <c r="E5" s="71"/>
      <c r="F5" s="72">
        <v>46173</v>
      </c>
      <c r="G5" s="72" t="s">
        <v>472</v>
      </c>
      <c r="H5" s="71"/>
    </row>
    <row r="6" s="67" customFormat="1" ht="22" customHeight="1" spans="1:8">
      <c r="A6" s="70">
        <v>5</v>
      </c>
      <c r="B6" s="70" t="s">
        <v>23</v>
      </c>
      <c r="C6" s="70" t="s">
        <v>471</v>
      </c>
      <c r="D6" s="71" t="s">
        <v>476</v>
      </c>
      <c r="E6" s="71"/>
      <c r="F6" s="72">
        <v>46203</v>
      </c>
      <c r="G6" s="72" t="s">
        <v>472</v>
      </c>
      <c r="H6" s="71"/>
    </row>
    <row r="7" s="67" customFormat="1" ht="22" customHeight="1" spans="1:8">
      <c r="A7" s="70">
        <v>6</v>
      </c>
      <c r="B7" s="70" t="s">
        <v>23</v>
      </c>
      <c r="C7" s="70" t="s">
        <v>471</v>
      </c>
      <c r="D7" s="71" t="s">
        <v>477</v>
      </c>
      <c r="E7" s="71"/>
      <c r="F7" s="72">
        <v>46234</v>
      </c>
      <c r="G7" s="72" t="s">
        <v>472</v>
      </c>
      <c r="H7" s="71"/>
    </row>
    <row r="8" s="67" customFormat="1" ht="22" customHeight="1" spans="1:8">
      <c r="A8" s="70">
        <v>7</v>
      </c>
      <c r="B8" s="70" t="s">
        <v>23</v>
      </c>
      <c r="C8" s="70" t="s">
        <v>471</v>
      </c>
      <c r="D8" s="71" t="s">
        <v>478</v>
      </c>
      <c r="E8" s="71"/>
      <c r="F8" s="72">
        <v>46265</v>
      </c>
      <c r="G8" s="72" t="s">
        <v>472</v>
      </c>
      <c r="H8" s="71"/>
    </row>
    <row r="9" s="67" customFormat="1" ht="22" customHeight="1" spans="1:8">
      <c r="A9" s="70">
        <v>8</v>
      </c>
      <c r="B9" s="70" t="s">
        <v>23</v>
      </c>
      <c r="C9" s="70" t="s">
        <v>471</v>
      </c>
      <c r="D9" s="71" t="s">
        <v>479</v>
      </c>
      <c r="E9" s="71"/>
      <c r="F9" s="72">
        <v>46295</v>
      </c>
      <c r="G9" s="72" t="s">
        <v>472</v>
      </c>
      <c r="H9" s="71"/>
    </row>
    <row r="10" s="67" customFormat="1" ht="22" customHeight="1" spans="1:8">
      <c r="A10" s="70">
        <v>9</v>
      </c>
      <c r="B10" s="70" t="s">
        <v>23</v>
      </c>
      <c r="C10" s="70" t="s">
        <v>471</v>
      </c>
      <c r="D10" s="71" t="s">
        <v>480</v>
      </c>
      <c r="E10" s="71"/>
      <c r="F10" s="72">
        <v>46326</v>
      </c>
      <c r="G10" s="72" t="s">
        <v>472</v>
      </c>
      <c r="H10" s="71"/>
    </row>
    <row r="11" s="67" customFormat="1" ht="22" customHeight="1" spans="1:8">
      <c r="A11" s="70">
        <v>10</v>
      </c>
      <c r="B11" s="70" t="s">
        <v>23</v>
      </c>
      <c r="C11" s="70" t="s">
        <v>471</v>
      </c>
      <c r="D11" s="71" t="s">
        <v>481</v>
      </c>
      <c r="E11" s="71"/>
      <c r="F11" s="72">
        <v>46356</v>
      </c>
      <c r="G11" s="72" t="s">
        <v>472</v>
      </c>
      <c r="H11" s="71"/>
    </row>
    <row r="12" s="67" customFormat="1" ht="22" customHeight="1" spans="1:8">
      <c r="A12" s="70">
        <v>11</v>
      </c>
      <c r="B12" s="70" t="s">
        <v>23</v>
      </c>
      <c r="C12" s="70" t="s">
        <v>471</v>
      </c>
      <c r="D12" s="71" t="s">
        <v>482</v>
      </c>
      <c r="E12" s="71"/>
      <c r="F12" s="72">
        <v>46387</v>
      </c>
      <c r="G12" s="72" t="s">
        <v>472</v>
      </c>
      <c r="H12" s="71"/>
    </row>
    <row r="13" s="67" customFormat="1" ht="22" customHeight="1" spans="1:8">
      <c r="A13" s="70">
        <v>12</v>
      </c>
      <c r="B13" s="70" t="s">
        <v>23</v>
      </c>
      <c r="C13" s="70" t="s">
        <v>471</v>
      </c>
      <c r="D13" s="71" t="s">
        <v>483</v>
      </c>
      <c r="E13" s="71"/>
      <c r="F13" s="72">
        <v>46112</v>
      </c>
      <c r="G13" s="72" t="s">
        <v>472</v>
      </c>
      <c r="H13" s="71"/>
    </row>
    <row r="14" s="67" customFormat="1" ht="22" customHeight="1" spans="1:8">
      <c r="A14" s="70">
        <v>13</v>
      </c>
      <c r="B14" s="70" t="s">
        <v>23</v>
      </c>
      <c r="C14" s="70" t="s">
        <v>471</v>
      </c>
      <c r="D14" s="71" t="s">
        <v>484</v>
      </c>
      <c r="E14" s="71"/>
      <c r="F14" s="72">
        <v>46142</v>
      </c>
      <c r="G14" s="72" t="s">
        <v>472</v>
      </c>
      <c r="H14" s="71"/>
    </row>
    <row r="15" s="67" customFormat="1" ht="22" customHeight="1" spans="1:8">
      <c r="A15" s="70">
        <v>14</v>
      </c>
      <c r="B15" s="70" t="s">
        <v>23</v>
      </c>
      <c r="C15" s="70" t="s">
        <v>471</v>
      </c>
      <c r="D15" s="71" t="s">
        <v>485</v>
      </c>
      <c r="E15" s="71"/>
      <c r="F15" s="72">
        <v>46173</v>
      </c>
      <c r="G15" s="72" t="s">
        <v>472</v>
      </c>
      <c r="H15" s="71"/>
    </row>
    <row r="16" s="67" customFormat="1" ht="22" customHeight="1" spans="1:8">
      <c r="A16" s="70">
        <v>15</v>
      </c>
      <c r="B16" s="70" t="s">
        <v>23</v>
      </c>
      <c r="C16" s="70" t="s">
        <v>471</v>
      </c>
      <c r="D16" s="71" t="s">
        <v>486</v>
      </c>
      <c r="E16" s="71"/>
      <c r="F16" s="72">
        <v>46203</v>
      </c>
      <c r="G16" s="72" t="s">
        <v>472</v>
      </c>
      <c r="H16" s="71"/>
    </row>
    <row r="17" s="67" customFormat="1" ht="22" customHeight="1" spans="1:8">
      <c r="A17" s="70">
        <v>16</v>
      </c>
      <c r="B17" s="70" t="s">
        <v>23</v>
      </c>
      <c r="C17" s="70" t="s">
        <v>471</v>
      </c>
      <c r="D17" s="71" t="s">
        <v>487</v>
      </c>
      <c r="E17" s="71"/>
      <c r="F17" s="72">
        <v>46234</v>
      </c>
      <c r="G17" s="72" t="s">
        <v>472</v>
      </c>
      <c r="H17" s="71"/>
    </row>
    <row r="18" s="67" customFormat="1" ht="22" customHeight="1" spans="1:8">
      <c r="A18" s="70">
        <v>17</v>
      </c>
      <c r="B18" s="70" t="s">
        <v>23</v>
      </c>
      <c r="C18" s="70" t="s">
        <v>471</v>
      </c>
      <c r="D18" s="71" t="s">
        <v>488</v>
      </c>
      <c r="E18" s="71"/>
      <c r="F18" s="72">
        <v>46265</v>
      </c>
      <c r="G18" s="72" t="s">
        <v>472</v>
      </c>
      <c r="H18" s="71"/>
    </row>
    <row r="19" s="67" customFormat="1" ht="22" customHeight="1" spans="1:8">
      <c r="A19" s="70">
        <v>18</v>
      </c>
      <c r="B19" s="70" t="s">
        <v>23</v>
      </c>
      <c r="C19" s="70" t="s">
        <v>471</v>
      </c>
      <c r="D19" s="71" t="s">
        <v>489</v>
      </c>
      <c r="E19" s="71"/>
      <c r="F19" s="72">
        <v>46295</v>
      </c>
      <c r="G19" s="72" t="s">
        <v>472</v>
      </c>
      <c r="H19" s="71"/>
    </row>
    <row r="20" s="67" customFormat="1" ht="22" customHeight="1" spans="1:8">
      <c r="A20" s="70">
        <v>19</v>
      </c>
      <c r="B20" s="70" t="s">
        <v>23</v>
      </c>
      <c r="C20" s="70" t="s">
        <v>471</v>
      </c>
      <c r="D20" s="71" t="s">
        <v>490</v>
      </c>
      <c r="E20" s="71"/>
      <c r="F20" s="72">
        <v>46326</v>
      </c>
      <c r="G20" s="72" t="s">
        <v>472</v>
      </c>
      <c r="H20" s="71"/>
    </row>
    <row r="21" s="67" customFormat="1" ht="22" customHeight="1" spans="1:8">
      <c r="A21" s="70">
        <v>20</v>
      </c>
      <c r="B21" s="70" t="s">
        <v>23</v>
      </c>
      <c r="C21" s="70" t="s">
        <v>471</v>
      </c>
      <c r="D21" s="71" t="s">
        <v>491</v>
      </c>
      <c r="E21" s="71"/>
      <c r="F21" s="72">
        <v>46356</v>
      </c>
      <c r="G21" s="72" t="s">
        <v>472</v>
      </c>
      <c r="H21" s="71"/>
    </row>
    <row r="22" s="67" customFormat="1" ht="22" customHeight="1" spans="1:8">
      <c r="A22" s="70">
        <v>21</v>
      </c>
      <c r="B22" s="70" t="s">
        <v>23</v>
      </c>
      <c r="C22" s="70" t="s">
        <v>471</v>
      </c>
      <c r="D22" s="71" t="s">
        <v>492</v>
      </c>
      <c r="E22" s="71"/>
      <c r="F22" s="72">
        <v>46387</v>
      </c>
      <c r="G22" s="72" t="s">
        <v>472</v>
      </c>
      <c r="H22" s="71"/>
    </row>
    <row r="23" s="67" customFormat="1" ht="22" customHeight="1" spans="1:8">
      <c r="A23" s="70">
        <v>22</v>
      </c>
      <c r="B23" s="70" t="s">
        <v>23</v>
      </c>
      <c r="C23" s="70" t="s">
        <v>493</v>
      </c>
      <c r="D23" s="71" t="s">
        <v>494</v>
      </c>
      <c r="E23" s="71"/>
      <c r="F23" s="72">
        <v>46203</v>
      </c>
      <c r="G23" s="72" t="s">
        <v>472</v>
      </c>
      <c r="H23" s="71"/>
    </row>
    <row r="24" s="67" customFormat="1" ht="22" customHeight="1" spans="1:8">
      <c r="A24" s="70">
        <v>23</v>
      </c>
      <c r="B24" s="70" t="s">
        <v>23</v>
      </c>
      <c r="C24" s="70" t="s">
        <v>493</v>
      </c>
      <c r="D24" s="71" t="s">
        <v>495</v>
      </c>
      <c r="E24" s="71"/>
      <c r="F24" s="72">
        <v>46142</v>
      </c>
      <c r="G24" s="72" t="s">
        <v>472</v>
      </c>
      <c r="H24" s="71"/>
    </row>
    <row r="25" s="67" customFormat="1" ht="22" customHeight="1" spans="1:8">
      <c r="A25" s="70">
        <v>24</v>
      </c>
      <c r="B25" s="70" t="s">
        <v>23</v>
      </c>
      <c r="C25" s="70" t="s">
        <v>493</v>
      </c>
      <c r="D25" s="71" t="s">
        <v>496</v>
      </c>
      <c r="E25" s="71"/>
      <c r="F25" s="72">
        <v>46173</v>
      </c>
      <c r="G25" s="72" t="s">
        <v>472</v>
      </c>
      <c r="H25" s="71"/>
    </row>
    <row r="26" s="67" customFormat="1" ht="22" customHeight="1" spans="1:8">
      <c r="A26" s="70">
        <v>25</v>
      </c>
      <c r="B26" s="70" t="s">
        <v>23</v>
      </c>
      <c r="C26" s="70" t="s">
        <v>493</v>
      </c>
      <c r="D26" s="71" t="s">
        <v>497</v>
      </c>
      <c r="E26" s="71"/>
      <c r="F26" s="72">
        <v>46173</v>
      </c>
      <c r="G26" s="72" t="s">
        <v>472</v>
      </c>
      <c r="H26" s="71"/>
    </row>
    <row r="27" s="67" customFormat="1" ht="22" customHeight="1" spans="1:8">
      <c r="A27" s="70">
        <v>26</v>
      </c>
      <c r="B27" s="70" t="s">
        <v>23</v>
      </c>
      <c r="C27" s="70" t="s">
        <v>493</v>
      </c>
      <c r="D27" s="71" t="s">
        <v>498</v>
      </c>
      <c r="E27" s="71"/>
      <c r="F27" s="72">
        <v>46203</v>
      </c>
      <c r="G27" s="72" t="s">
        <v>472</v>
      </c>
      <c r="H27" s="71"/>
    </row>
    <row r="28" s="67" customFormat="1" ht="22" customHeight="1" spans="1:8">
      <c r="A28" s="70">
        <v>27</v>
      </c>
      <c r="B28" s="70" t="s">
        <v>23</v>
      </c>
      <c r="C28" s="70" t="s">
        <v>493</v>
      </c>
      <c r="D28" s="71" t="s">
        <v>499</v>
      </c>
      <c r="E28" s="71"/>
      <c r="F28" s="72">
        <v>46387</v>
      </c>
      <c r="G28" s="72" t="s">
        <v>472</v>
      </c>
      <c r="H28" s="71"/>
    </row>
    <row r="29" s="67" customFormat="1" ht="22" customHeight="1" spans="1:8">
      <c r="A29" s="70">
        <v>28</v>
      </c>
      <c r="B29" s="70" t="s">
        <v>23</v>
      </c>
      <c r="C29" s="70" t="s">
        <v>493</v>
      </c>
      <c r="D29" s="71" t="s">
        <v>500</v>
      </c>
      <c r="E29" s="71"/>
      <c r="F29" s="72">
        <v>46387</v>
      </c>
      <c r="G29" s="72" t="s">
        <v>472</v>
      </c>
      <c r="H29" s="71"/>
    </row>
    <row r="30" s="67" customFormat="1" ht="22" customHeight="1" spans="1:8">
      <c r="A30" s="70">
        <v>29</v>
      </c>
      <c r="B30" s="70" t="s">
        <v>23</v>
      </c>
      <c r="C30" s="70" t="s">
        <v>493</v>
      </c>
      <c r="D30" s="71" t="s">
        <v>501</v>
      </c>
      <c r="E30" s="71"/>
      <c r="F30" s="72">
        <v>46142</v>
      </c>
      <c r="G30" s="72" t="s">
        <v>472</v>
      </c>
      <c r="H30" s="71"/>
    </row>
    <row r="31" s="67" customFormat="1" ht="22" customHeight="1" spans="1:8">
      <c r="A31" s="70">
        <v>30</v>
      </c>
      <c r="B31" s="70" t="s">
        <v>23</v>
      </c>
      <c r="C31" s="70" t="s">
        <v>493</v>
      </c>
      <c r="D31" s="71" t="s">
        <v>502</v>
      </c>
      <c r="E31" s="71"/>
      <c r="F31" s="72">
        <v>46142</v>
      </c>
      <c r="G31" s="72" t="s">
        <v>472</v>
      </c>
      <c r="H31" s="71"/>
    </row>
    <row r="32" s="67" customFormat="1" ht="22" customHeight="1" spans="1:8">
      <c r="A32" s="70">
        <v>31</v>
      </c>
      <c r="B32" s="70" t="s">
        <v>23</v>
      </c>
      <c r="C32" s="70" t="s">
        <v>493</v>
      </c>
      <c r="D32" s="71" t="s">
        <v>503</v>
      </c>
      <c r="E32" s="71"/>
      <c r="F32" s="72">
        <v>46173</v>
      </c>
      <c r="G32" s="72" t="s">
        <v>472</v>
      </c>
      <c r="H32" s="71"/>
    </row>
    <row r="33" s="67" customFormat="1" ht="22" customHeight="1" spans="1:8">
      <c r="A33" s="70">
        <v>32</v>
      </c>
      <c r="B33" s="70" t="s">
        <v>23</v>
      </c>
      <c r="C33" s="70" t="s">
        <v>493</v>
      </c>
      <c r="D33" s="71" t="s">
        <v>504</v>
      </c>
      <c r="E33" s="71"/>
      <c r="F33" s="72">
        <v>46203</v>
      </c>
      <c r="G33" s="72" t="s">
        <v>472</v>
      </c>
      <c r="H33" s="71"/>
    </row>
    <row r="34" s="67" customFormat="1" ht="22" customHeight="1" spans="1:8">
      <c r="A34" s="70">
        <v>33</v>
      </c>
      <c r="B34" s="70" t="s">
        <v>23</v>
      </c>
      <c r="C34" s="70" t="s">
        <v>493</v>
      </c>
      <c r="D34" s="71" t="s">
        <v>505</v>
      </c>
      <c r="E34" s="71"/>
      <c r="F34" s="72">
        <v>46234</v>
      </c>
      <c r="G34" s="72" t="s">
        <v>472</v>
      </c>
      <c r="H34" s="71"/>
    </row>
    <row r="35" s="67" customFormat="1" ht="22" customHeight="1" spans="1:8">
      <c r="A35" s="70">
        <v>34</v>
      </c>
      <c r="B35" s="70" t="s">
        <v>23</v>
      </c>
      <c r="C35" s="70" t="s">
        <v>493</v>
      </c>
      <c r="D35" s="71" t="s">
        <v>506</v>
      </c>
      <c r="E35" s="71"/>
      <c r="F35" s="72">
        <v>46234</v>
      </c>
      <c r="G35" s="72" t="s">
        <v>472</v>
      </c>
      <c r="H35" s="71"/>
    </row>
    <row r="36" s="67" customFormat="1" ht="22" customHeight="1" spans="1:8">
      <c r="A36" s="70">
        <v>35</v>
      </c>
      <c r="B36" s="70" t="s">
        <v>23</v>
      </c>
      <c r="C36" s="70" t="s">
        <v>493</v>
      </c>
      <c r="D36" s="71" t="s">
        <v>507</v>
      </c>
      <c r="E36" s="71"/>
      <c r="F36" s="72">
        <v>46265</v>
      </c>
      <c r="G36" s="72" t="s">
        <v>472</v>
      </c>
      <c r="H36" s="71"/>
    </row>
    <row r="37" s="67" customFormat="1" ht="22" customHeight="1" spans="1:8">
      <c r="A37" s="70">
        <v>36</v>
      </c>
      <c r="B37" s="70" t="s">
        <v>23</v>
      </c>
      <c r="C37" s="70" t="s">
        <v>493</v>
      </c>
      <c r="D37" s="71" t="s">
        <v>508</v>
      </c>
      <c r="E37" s="71"/>
      <c r="F37" s="72">
        <v>46265</v>
      </c>
      <c r="G37" s="72" t="s">
        <v>472</v>
      </c>
      <c r="H37" s="71"/>
    </row>
    <row r="38" s="67" customFormat="1" ht="22" customHeight="1" spans="1:8">
      <c r="A38" s="70">
        <v>37</v>
      </c>
      <c r="B38" s="70" t="s">
        <v>23</v>
      </c>
      <c r="C38" s="70" t="s">
        <v>493</v>
      </c>
      <c r="D38" s="71" t="s">
        <v>509</v>
      </c>
      <c r="E38" s="71"/>
      <c r="F38" s="72">
        <v>46295</v>
      </c>
      <c r="G38" s="72" t="s">
        <v>472</v>
      </c>
      <c r="H38" s="71"/>
    </row>
    <row r="39" s="67" customFormat="1" ht="22" customHeight="1" spans="1:8">
      <c r="A39" s="70">
        <v>38</v>
      </c>
      <c r="B39" s="70" t="s">
        <v>23</v>
      </c>
      <c r="C39" s="70" t="s">
        <v>493</v>
      </c>
      <c r="D39" s="71" t="s">
        <v>510</v>
      </c>
      <c r="E39" s="71"/>
      <c r="F39" s="72">
        <v>46295</v>
      </c>
      <c r="G39" s="72" t="s">
        <v>472</v>
      </c>
      <c r="H39" s="71"/>
    </row>
    <row r="40" s="67" customFormat="1" ht="22" customHeight="1" spans="1:8">
      <c r="A40" s="70">
        <v>39</v>
      </c>
      <c r="B40" s="70" t="s">
        <v>23</v>
      </c>
      <c r="C40" s="70" t="s">
        <v>493</v>
      </c>
      <c r="D40" s="71" t="s">
        <v>511</v>
      </c>
      <c r="E40" s="71"/>
      <c r="F40" s="72">
        <v>46326</v>
      </c>
      <c r="G40" s="72" t="s">
        <v>472</v>
      </c>
      <c r="H40" s="71"/>
    </row>
    <row r="41" s="67" customFormat="1" ht="22" customHeight="1" spans="1:8">
      <c r="A41" s="70">
        <v>40</v>
      </c>
      <c r="B41" s="70" t="s">
        <v>23</v>
      </c>
      <c r="C41" s="70" t="s">
        <v>493</v>
      </c>
      <c r="D41" s="71" t="s">
        <v>512</v>
      </c>
      <c r="E41" s="71"/>
      <c r="F41" s="72">
        <v>46326</v>
      </c>
      <c r="G41" s="72" t="s">
        <v>472</v>
      </c>
      <c r="H41" s="71"/>
    </row>
    <row r="42" s="67" customFormat="1" ht="52" customHeight="1" spans="1:8">
      <c r="A42" s="70">
        <v>41</v>
      </c>
      <c r="B42" s="70" t="s">
        <v>23</v>
      </c>
      <c r="C42" s="70" t="s">
        <v>493</v>
      </c>
      <c r="D42" s="71" t="s">
        <v>513</v>
      </c>
      <c r="E42" s="71"/>
      <c r="F42" s="72">
        <v>46142</v>
      </c>
      <c r="G42" s="72" t="s">
        <v>472</v>
      </c>
      <c r="H42" s="71"/>
    </row>
    <row r="43" s="67" customFormat="1" ht="22" customHeight="1" spans="1:8">
      <c r="A43" s="70">
        <v>42</v>
      </c>
      <c r="B43" s="70" t="s">
        <v>23</v>
      </c>
      <c r="C43" s="70" t="s">
        <v>493</v>
      </c>
      <c r="D43" s="71" t="s">
        <v>514</v>
      </c>
      <c r="E43" s="71"/>
      <c r="F43" s="72">
        <v>46173</v>
      </c>
      <c r="G43" s="72" t="s">
        <v>472</v>
      </c>
      <c r="H43" s="71"/>
    </row>
    <row r="44" s="67" customFormat="1" ht="22" customHeight="1" spans="1:8">
      <c r="A44" s="70">
        <v>43</v>
      </c>
      <c r="B44" s="70" t="s">
        <v>23</v>
      </c>
      <c r="C44" s="70" t="s">
        <v>493</v>
      </c>
      <c r="D44" s="71" t="s">
        <v>515</v>
      </c>
      <c r="E44" s="71"/>
      <c r="F44" s="72">
        <v>46203</v>
      </c>
      <c r="G44" s="72" t="s">
        <v>472</v>
      </c>
      <c r="H44" s="71"/>
    </row>
    <row r="45" s="67" customFormat="1" ht="22" customHeight="1" spans="1:8">
      <c r="A45" s="70">
        <v>44</v>
      </c>
      <c r="B45" s="70" t="s">
        <v>23</v>
      </c>
      <c r="C45" s="70" t="s">
        <v>493</v>
      </c>
      <c r="D45" s="71" t="s">
        <v>516</v>
      </c>
      <c r="E45" s="71"/>
      <c r="F45" s="72">
        <v>46234</v>
      </c>
      <c r="G45" s="72" t="s">
        <v>472</v>
      </c>
      <c r="H45" s="71"/>
    </row>
    <row r="46" s="67" customFormat="1" ht="22" customHeight="1" spans="1:8">
      <c r="A46" s="70">
        <v>45</v>
      </c>
      <c r="B46" s="70" t="s">
        <v>23</v>
      </c>
      <c r="C46" s="70" t="s">
        <v>493</v>
      </c>
      <c r="D46" s="71" t="s">
        <v>517</v>
      </c>
      <c r="E46" s="71"/>
      <c r="F46" s="72">
        <v>46265</v>
      </c>
      <c r="G46" s="72" t="s">
        <v>472</v>
      </c>
      <c r="H46" s="71"/>
    </row>
    <row r="47" s="67" customFormat="1" ht="22" customHeight="1" spans="1:8">
      <c r="A47" s="70">
        <v>46</v>
      </c>
      <c r="B47" s="70" t="s">
        <v>23</v>
      </c>
      <c r="C47" s="70" t="s">
        <v>493</v>
      </c>
      <c r="D47" s="71" t="s">
        <v>518</v>
      </c>
      <c r="E47" s="71"/>
      <c r="F47" s="72">
        <v>46295</v>
      </c>
      <c r="G47" s="72" t="s">
        <v>472</v>
      </c>
      <c r="H47" s="71"/>
    </row>
    <row r="48" s="67" customFormat="1" ht="22" customHeight="1" spans="1:8">
      <c r="A48" s="70">
        <v>47</v>
      </c>
      <c r="B48" s="70" t="s">
        <v>23</v>
      </c>
      <c r="C48" s="70" t="s">
        <v>493</v>
      </c>
      <c r="D48" s="71" t="s">
        <v>519</v>
      </c>
      <c r="E48" s="71"/>
      <c r="F48" s="72">
        <v>46326</v>
      </c>
      <c r="G48" s="72" t="s">
        <v>472</v>
      </c>
      <c r="H48" s="71"/>
    </row>
    <row r="49" s="67" customFormat="1" ht="22" customHeight="1" spans="1:8">
      <c r="A49" s="70">
        <v>48</v>
      </c>
      <c r="B49" s="70" t="s">
        <v>23</v>
      </c>
      <c r="C49" s="70" t="s">
        <v>493</v>
      </c>
      <c r="D49" s="71" t="s">
        <v>520</v>
      </c>
      <c r="E49" s="71"/>
      <c r="F49" s="72">
        <v>46356</v>
      </c>
      <c r="G49" s="72" t="s">
        <v>472</v>
      </c>
      <c r="H49" s="71"/>
    </row>
    <row r="50" s="67" customFormat="1" ht="22" customHeight="1" spans="1:8">
      <c r="A50" s="70">
        <v>49</v>
      </c>
      <c r="B50" s="70" t="s">
        <v>23</v>
      </c>
      <c r="C50" s="70" t="s">
        <v>493</v>
      </c>
      <c r="D50" s="71" t="s">
        <v>521</v>
      </c>
      <c r="E50" s="71"/>
      <c r="F50" s="72">
        <v>46387</v>
      </c>
      <c r="G50" s="72" t="s">
        <v>472</v>
      </c>
      <c r="H50" s="71"/>
    </row>
    <row r="51" s="67" customFormat="1" ht="22" customHeight="1" spans="1:8">
      <c r="A51" s="73">
        <v>50</v>
      </c>
      <c r="B51" s="73" t="s">
        <v>522</v>
      </c>
      <c r="C51" s="73" t="s">
        <v>471</v>
      </c>
      <c r="D51" s="74" t="s">
        <v>523</v>
      </c>
      <c r="E51" s="74"/>
      <c r="F51" s="75">
        <v>46127</v>
      </c>
      <c r="G51" s="74" t="s">
        <v>524</v>
      </c>
      <c r="H51" s="74"/>
    </row>
    <row r="52" s="67" customFormat="1" ht="22" customHeight="1" spans="1:8">
      <c r="A52" s="73">
        <v>51</v>
      </c>
      <c r="B52" s="73" t="s">
        <v>522</v>
      </c>
      <c r="C52" s="73" t="s">
        <v>471</v>
      </c>
      <c r="D52" s="74" t="s">
        <v>525</v>
      </c>
      <c r="E52" s="74"/>
      <c r="F52" s="75">
        <v>46142</v>
      </c>
      <c r="G52" s="74" t="s">
        <v>524</v>
      </c>
      <c r="H52" s="74"/>
    </row>
    <row r="53" s="67" customFormat="1" ht="22" customHeight="1" spans="1:8">
      <c r="A53" s="73">
        <v>52</v>
      </c>
      <c r="B53" s="73" t="s">
        <v>522</v>
      </c>
      <c r="C53" s="73" t="s">
        <v>471</v>
      </c>
      <c r="D53" s="74" t="s">
        <v>526</v>
      </c>
      <c r="E53" s="74"/>
      <c r="F53" s="74" t="s">
        <v>527</v>
      </c>
      <c r="G53" s="74" t="s">
        <v>524</v>
      </c>
      <c r="H53" s="74"/>
    </row>
    <row r="54" s="67" customFormat="1" ht="22" customHeight="1" spans="1:8">
      <c r="A54" s="73">
        <v>53</v>
      </c>
      <c r="B54" s="73" t="s">
        <v>522</v>
      </c>
      <c r="C54" s="73" t="s">
        <v>471</v>
      </c>
      <c r="D54" s="74" t="s">
        <v>528</v>
      </c>
      <c r="E54" s="74"/>
      <c r="F54" s="75">
        <v>46233</v>
      </c>
      <c r="G54" s="74" t="s">
        <v>524</v>
      </c>
      <c r="H54" s="74"/>
    </row>
    <row r="55" s="67" customFormat="1" ht="22" customHeight="1" spans="1:8">
      <c r="A55" s="73">
        <v>54</v>
      </c>
      <c r="B55" s="73" t="s">
        <v>522</v>
      </c>
      <c r="C55" s="73" t="s">
        <v>471</v>
      </c>
      <c r="D55" s="74" t="s">
        <v>529</v>
      </c>
      <c r="E55" s="74"/>
      <c r="F55" s="74" t="s">
        <v>530</v>
      </c>
      <c r="G55" s="74" t="s">
        <v>524</v>
      </c>
      <c r="H55" s="74"/>
    </row>
    <row r="56" s="67" customFormat="1" ht="33" customHeight="1" spans="1:8">
      <c r="A56" s="73">
        <v>55</v>
      </c>
      <c r="B56" s="73" t="s">
        <v>522</v>
      </c>
      <c r="C56" s="73" t="s">
        <v>471</v>
      </c>
      <c r="D56" s="74" t="s">
        <v>531</v>
      </c>
      <c r="E56" s="74"/>
      <c r="F56" s="74" t="s">
        <v>532</v>
      </c>
      <c r="G56" s="74" t="s">
        <v>533</v>
      </c>
      <c r="H56" s="74"/>
    </row>
    <row r="57" s="67" customFormat="1" ht="22" customHeight="1" spans="1:8">
      <c r="A57" s="73">
        <v>56</v>
      </c>
      <c r="B57" s="73" t="s">
        <v>522</v>
      </c>
      <c r="C57" s="73" t="s">
        <v>471</v>
      </c>
      <c r="D57" s="74" t="s">
        <v>534</v>
      </c>
      <c r="E57" s="74"/>
      <c r="F57" s="74" t="s">
        <v>535</v>
      </c>
      <c r="G57" s="74" t="s">
        <v>533</v>
      </c>
      <c r="H57" s="74"/>
    </row>
    <row r="58" s="67" customFormat="1" ht="22" customHeight="1" spans="1:8">
      <c r="A58" s="73">
        <v>57</v>
      </c>
      <c r="B58" s="73" t="s">
        <v>522</v>
      </c>
      <c r="C58" s="73" t="s">
        <v>471</v>
      </c>
      <c r="D58" s="74" t="s">
        <v>536</v>
      </c>
      <c r="E58" s="74"/>
      <c r="F58" s="74" t="s">
        <v>537</v>
      </c>
      <c r="G58" s="74" t="s">
        <v>538</v>
      </c>
      <c r="H58" s="74"/>
    </row>
    <row r="59" s="67" customFormat="1" ht="22" customHeight="1" spans="1:8">
      <c r="A59" s="73">
        <v>58</v>
      </c>
      <c r="B59" s="73" t="s">
        <v>522</v>
      </c>
      <c r="C59" s="73" t="s">
        <v>471</v>
      </c>
      <c r="D59" s="74" t="s">
        <v>539</v>
      </c>
      <c r="E59" s="74"/>
      <c r="F59" s="75">
        <v>46142</v>
      </c>
      <c r="G59" s="74" t="s">
        <v>538</v>
      </c>
      <c r="H59" s="74"/>
    </row>
    <row r="60" s="67" customFormat="1" ht="22" customHeight="1" spans="1:8">
      <c r="A60" s="73">
        <v>59</v>
      </c>
      <c r="B60" s="73" t="s">
        <v>522</v>
      </c>
      <c r="C60" s="73" t="s">
        <v>471</v>
      </c>
      <c r="D60" s="74" t="s">
        <v>540</v>
      </c>
      <c r="E60" s="74"/>
      <c r="F60" s="75">
        <v>46203</v>
      </c>
      <c r="G60" s="74" t="s">
        <v>538</v>
      </c>
      <c r="H60" s="74"/>
    </row>
    <row r="61" s="67" customFormat="1" ht="22" customHeight="1" spans="1:8">
      <c r="A61" s="73">
        <v>60</v>
      </c>
      <c r="B61" s="73" t="s">
        <v>522</v>
      </c>
      <c r="C61" s="73" t="s">
        <v>471</v>
      </c>
      <c r="D61" s="74" t="s">
        <v>541</v>
      </c>
      <c r="E61" s="74"/>
      <c r="F61" s="74" t="s">
        <v>542</v>
      </c>
      <c r="G61" s="74" t="s">
        <v>538</v>
      </c>
      <c r="H61" s="74"/>
    </row>
    <row r="62" s="67" customFormat="1" ht="22" customHeight="1" spans="1:8">
      <c r="A62" s="73">
        <v>61</v>
      </c>
      <c r="B62" s="73" t="s">
        <v>522</v>
      </c>
      <c r="C62" s="73" t="s">
        <v>471</v>
      </c>
      <c r="D62" s="74" t="s">
        <v>304</v>
      </c>
      <c r="E62" s="74"/>
      <c r="F62" s="74" t="s">
        <v>543</v>
      </c>
      <c r="G62" s="74" t="s">
        <v>524</v>
      </c>
      <c r="H62" s="74"/>
    </row>
    <row r="63" s="67" customFormat="1" ht="22" customHeight="1" spans="1:8">
      <c r="A63" s="73">
        <v>62</v>
      </c>
      <c r="B63" s="73" t="s">
        <v>522</v>
      </c>
      <c r="C63" s="73" t="s">
        <v>493</v>
      </c>
      <c r="D63" s="74" t="s">
        <v>544</v>
      </c>
      <c r="E63" s="74"/>
      <c r="F63" s="75">
        <v>46112</v>
      </c>
      <c r="G63" s="74" t="s">
        <v>538</v>
      </c>
      <c r="H63" s="74"/>
    </row>
    <row r="64" s="67" customFormat="1" ht="22" customHeight="1" spans="1:8">
      <c r="A64" s="73">
        <v>63</v>
      </c>
      <c r="B64" s="73" t="s">
        <v>522</v>
      </c>
      <c r="C64" s="73" t="s">
        <v>493</v>
      </c>
      <c r="D64" s="74" t="s">
        <v>545</v>
      </c>
      <c r="E64" s="74"/>
      <c r="F64" s="76" t="s">
        <v>546</v>
      </c>
      <c r="G64" s="74" t="s">
        <v>538</v>
      </c>
      <c r="H64" s="74"/>
    </row>
    <row r="65" s="67" customFormat="1" ht="22" customHeight="1" spans="1:8">
      <c r="A65" s="73">
        <v>64</v>
      </c>
      <c r="B65" s="73" t="s">
        <v>522</v>
      </c>
      <c r="C65" s="73" t="s">
        <v>493</v>
      </c>
      <c r="D65" s="74" t="s">
        <v>547</v>
      </c>
      <c r="E65" s="74"/>
      <c r="F65" s="74" t="s">
        <v>535</v>
      </c>
      <c r="G65" s="74" t="s">
        <v>538</v>
      </c>
      <c r="H65" s="74"/>
    </row>
    <row r="66" s="67" customFormat="1" ht="22" customHeight="1" spans="1:8">
      <c r="A66" s="73">
        <v>65</v>
      </c>
      <c r="B66" s="73" t="s">
        <v>522</v>
      </c>
      <c r="C66" s="73" t="s">
        <v>493</v>
      </c>
      <c r="D66" s="74" t="s">
        <v>548</v>
      </c>
      <c r="E66" s="74"/>
      <c r="F66" s="75">
        <v>46173</v>
      </c>
      <c r="G66" s="74" t="s">
        <v>538</v>
      </c>
      <c r="H66" s="74"/>
    </row>
    <row r="67" s="67" customFormat="1" ht="22" customHeight="1" spans="1:8">
      <c r="A67" s="73">
        <v>66</v>
      </c>
      <c r="B67" s="73" t="s">
        <v>522</v>
      </c>
      <c r="C67" s="73" t="s">
        <v>493</v>
      </c>
      <c r="D67" s="74" t="s">
        <v>549</v>
      </c>
      <c r="E67" s="74"/>
      <c r="F67" s="75">
        <v>46203</v>
      </c>
      <c r="G67" s="74" t="s">
        <v>538</v>
      </c>
      <c r="H67" s="74"/>
    </row>
    <row r="68" s="67" customFormat="1" ht="22" customHeight="1" spans="1:8">
      <c r="A68" s="73">
        <v>67</v>
      </c>
      <c r="B68" s="73" t="s">
        <v>522</v>
      </c>
      <c r="C68" s="73" t="s">
        <v>493</v>
      </c>
      <c r="D68" s="74" t="s">
        <v>550</v>
      </c>
      <c r="E68" s="74"/>
      <c r="F68" s="75">
        <v>46203</v>
      </c>
      <c r="G68" s="74" t="s">
        <v>538</v>
      </c>
      <c r="H68" s="74"/>
    </row>
    <row r="69" s="67" customFormat="1" ht="22" customHeight="1" spans="1:8">
      <c r="A69" s="73">
        <v>68</v>
      </c>
      <c r="B69" s="73" t="s">
        <v>522</v>
      </c>
      <c r="C69" s="73" t="s">
        <v>493</v>
      </c>
      <c r="D69" s="74" t="s">
        <v>551</v>
      </c>
      <c r="E69" s="74"/>
      <c r="F69" s="74" t="s">
        <v>530</v>
      </c>
      <c r="G69" s="74" t="s">
        <v>538</v>
      </c>
      <c r="H69" s="74"/>
    </row>
    <row r="70" s="67" customFormat="1" ht="22" customHeight="1" spans="1:8">
      <c r="A70" s="73">
        <v>69</v>
      </c>
      <c r="B70" s="73" t="s">
        <v>522</v>
      </c>
      <c r="C70" s="73" t="s">
        <v>493</v>
      </c>
      <c r="D70" s="74" t="s">
        <v>552</v>
      </c>
      <c r="E70" s="74"/>
      <c r="F70" s="75">
        <v>46387</v>
      </c>
      <c r="G70" s="74" t="s">
        <v>538</v>
      </c>
      <c r="H70" s="74"/>
    </row>
    <row r="71" s="67" customFormat="1" ht="67.5" spans="1:8">
      <c r="A71" s="77">
        <v>70</v>
      </c>
      <c r="B71" s="77" t="s">
        <v>49</v>
      </c>
      <c r="C71" s="77" t="s">
        <v>471</v>
      </c>
      <c r="D71" s="78" t="s">
        <v>553</v>
      </c>
      <c r="E71" s="78"/>
      <c r="F71" s="79">
        <v>46112</v>
      </c>
      <c r="G71" s="78" t="s">
        <v>51</v>
      </c>
      <c r="H71" s="78" t="s">
        <v>554</v>
      </c>
    </row>
    <row r="72" s="67" customFormat="1" ht="54" spans="1:8">
      <c r="A72" s="77">
        <v>71</v>
      </c>
      <c r="B72" s="77" t="s">
        <v>49</v>
      </c>
      <c r="C72" s="77" t="s">
        <v>471</v>
      </c>
      <c r="D72" s="78" t="s">
        <v>555</v>
      </c>
      <c r="E72" s="78"/>
      <c r="F72" s="79">
        <v>46142</v>
      </c>
      <c r="G72" s="78" t="s">
        <v>51</v>
      </c>
      <c r="H72" s="78" t="s">
        <v>556</v>
      </c>
    </row>
    <row r="73" s="67" customFormat="1" ht="54" spans="1:8">
      <c r="A73" s="77">
        <v>72</v>
      </c>
      <c r="B73" s="77" t="s">
        <v>49</v>
      </c>
      <c r="C73" s="77" t="s">
        <v>471</v>
      </c>
      <c r="D73" s="78" t="s">
        <v>557</v>
      </c>
      <c r="E73" s="78"/>
      <c r="F73" s="79">
        <v>46173</v>
      </c>
      <c r="G73" s="78" t="s">
        <v>58</v>
      </c>
      <c r="H73" s="78" t="s">
        <v>558</v>
      </c>
    </row>
    <row r="74" s="67" customFormat="1" ht="54" spans="1:8">
      <c r="A74" s="77">
        <v>73</v>
      </c>
      <c r="B74" s="77" t="s">
        <v>49</v>
      </c>
      <c r="C74" s="77" t="s">
        <v>471</v>
      </c>
      <c r="D74" s="78" t="s">
        <v>559</v>
      </c>
      <c r="E74" s="78"/>
      <c r="F74" s="79">
        <v>46203</v>
      </c>
      <c r="G74" s="78" t="s">
        <v>58</v>
      </c>
      <c r="H74" s="78" t="s">
        <v>560</v>
      </c>
    </row>
    <row r="75" s="67" customFormat="1" ht="56" customHeight="1" spans="1:8">
      <c r="A75" s="77">
        <v>74</v>
      </c>
      <c r="B75" s="77" t="s">
        <v>49</v>
      </c>
      <c r="C75" s="77" t="s">
        <v>471</v>
      </c>
      <c r="D75" s="78" t="s">
        <v>561</v>
      </c>
      <c r="E75" s="78"/>
      <c r="F75" s="79">
        <v>46234</v>
      </c>
      <c r="G75" s="78" t="s">
        <v>62</v>
      </c>
      <c r="H75" s="78" t="s">
        <v>562</v>
      </c>
    </row>
    <row r="76" s="67" customFormat="1" ht="54" spans="1:8">
      <c r="A76" s="77">
        <v>75</v>
      </c>
      <c r="B76" s="77" t="s">
        <v>49</v>
      </c>
      <c r="C76" s="77" t="s">
        <v>471</v>
      </c>
      <c r="D76" s="78" t="s">
        <v>563</v>
      </c>
      <c r="E76" s="78"/>
      <c r="F76" s="79">
        <v>46265</v>
      </c>
      <c r="G76" s="78" t="s">
        <v>62</v>
      </c>
      <c r="H76" s="78" t="s">
        <v>564</v>
      </c>
    </row>
    <row r="77" s="68" customFormat="1" ht="94.5" spans="1:8">
      <c r="A77" s="80">
        <v>76</v>
      </c>
      <c r="B77" s="80" t="s">
        <v>66</v>
      </c>
      <c r="C77" s="80" t="s">
        <v>471</v>
      </c>
      <c r="D77" s="81" t="s">
        <v>565</v>
      </c>
      <c r="E77" s="81"/>
      <c r="F77" s="82">
        <v>46203</v>
      </c>
      <c r="G77" s="81" t="s">
        <v>566</v>
      </c>
      <c r="H77" s="81"/>
    </row>
    <row r="78" s="68" customFormat="1" ht="81" spans="1:8">
      <c r="A78" s="80">
        <v>77</v>
      </c>
      <c r="B78" s="80" t="s">
        <v>66</v>
      </c>
      <c r="C78" s="80" t="s">
        <v>471</v>
      </c>
      <c r="D78" s="81" t="s">
        <v>567</v>
      </c>
      <c r="E78" s="81"/>
      <c r="F78" s="82">
        <v>46295</v>
      </c>
      <c r="G78" s="81" t="s">
        <v>566</v>
      </c>
      <c r="H78" s="81"/>
    </row>
    <row r="79" s="68" customFormat="1" ht="67.5" spans="1:8">
      <c r="A79" s="80">
        <v>78</v>
      </c>
      <c r="B79" s="80" t="s">
        <v>66</v>
      </c>
      <c r="C79" s="80" t="s">
        <v>471</v>
      </c>
      <c r="D79" s="81" t="s">
        <v>568</v>
      </c>
      <c r="E79" s="81"/>
      <c r="F79" s="82">
        <v>46387</v>
      </c>
      <c r="G79" s="81" t="s">
        <v>566</v>
      </c>
      <c r="H79" s="81"/>
    </row>
    <row r="80" s="68" customFormat="1" ht="22" customHeight="1" spans="1:8">
      <c r="A80" s="80">
        <v>79</v>
      </c>
      <c r="B80" s="80" t="s">
        <v>66</v>
      </c>
      <c r="C80" s="80" t="s">
        <v>493</v>
      </c>
      <c r="D80" s="81" t="s">
        <v>569</v>
      </c>
      <c r="E80" s="81"/>
      <c r="F80" s="82">
        <v>46142</v>
      </c>
      <c r="G80" s="81" t="s">
        <v>566</v>
      </c>
      <c r="H80" s="81"/>
    </row>
    <row r="81" s="68" customFormat="1" ht="22" customHeight="1" spans="1:8">
      <c r="A81" s="80">
        <v>80</v>
      </c>
      <c r="B81" s="80" t="s">
        <v>66</v>
      </c>
      <c r="C81" s="80" t="s">
        <v>493</v>
      </c>
      <c r="D81" s="81" t="s">
        <v>570</v>
      </c>
      <c r="E81" s="81"/>
      <c r="F81" s="82">
        <v>46173</v>
      </c>
      <c r="G81" s="81" t="s">
        <v>566</v>
      </c>
      <c r="H81" s="81"/>
    </row>
    <row r="82" s="68" customFormat="1" ht="22" customHeight="1" spans="1:8">
      <c r="A82" s="80">
        <v>81</v>
      </c>
      <c r="B82" s="80" t="s">
        <v>66</v>
      </c>
      <c r="C82" s="80" t="s">
        <v>493</v>
      </c>
      <c r="D82" s="81" t="s">
        <v>571</v>
      </c>
      <c r="E82" s="81"/>
      <c r="F82" s="82">
        <v>46203</v>
      </c>
      <c r="G82" s="81" t="s">
        <v>566</v>
      </c>
      <c r="H82" s="81"/>
    </row>
    <row r="83" s="68" customFormat="1" ht="22" customHeight="1" spans="1:8">
      <c r="A83" s="80">
        <v>82</v>
      </c>
      <c r="B83" s="80" t="s">
        <v>66</v>
      </c>
      <c r="C83" s="80" t="s">
        <v>493</v>
      </c>
      <c r="D83" s="81" t="s">
        <v>572</v>
      </c>
      <c r="E83" s="81"/>
      <c r="F83" s="82">
        <v>46234</v>
      </c>
      <c r="G83" s="81" t="s">
        <v>566</v>
      </c>
      <c r="H83" s="81"/>
    </row>
    <row r="84" s="68" customFormat="1" ht="22" customHeight="1" spans="1:8">
      <c r="A84" s="80">
        <v>83</v>
      </c>
      <c r="B84" s="80" t="s">
        <v>66</v>
      </c>
      <c r="C84" s="80" t="s">
        <v>493</v>
      </c>
      <c r="D84" s="81" t="s">
        <v>573</v>
      </c>
      <c r="E84" s="81"/>
      <c r="F84" s="82">
        <v>46265</v>
      </c>
      <c r="G84" s="81" t="s">
        <v>566</v>
      </c>
      <c r="H84" s="81"/>
    </row>
    <row r="85" s="68" customFormat="1" ht="22" customHeight="1" spans="1:8">
      <c r="A85" s="80">
        <v>84</v>
      </c>
      <c r="B85" s="80" t="s">
        <v>66</v>
      </c>
      <c r="C85" s="80" t="s">
        <v>493</v>
      </c>
      <c r="D85" s="81" t="s">
        <v>574</v>
      </c>
      <c r="E85" s="81"/>
      <c r="F85" s="82">
        <v>46295</v>
      </c>
      <c r="G85" s="81" t="s">
        <v>566</v>
      </c>
      <c r="H85" s="81"/>
    </row>
    <row r="86" s="68" customFormat="1" ht="22" customHeight="1" spans="1:8">
      <c r="A86" s="80">
        <v>85</v>
      </c>
      <c r="B86" s="80" t="s">
        <v>66</v>
      </c>
      <c r="C86" s="80" t="s">
        <v>493</v>
      </c>
      <c r="D86" s="81" t="s">
        <v>575</v>
      </c>
      <c r="E86" s="81"/>
      <c r="F86" s="82">
        <v>46326</v>
      </c>
      <c r="G86" s="81" t="s">
        <v>566</v>
      </c>
      <c r="H86" s="81"/>
    </row>
    <row r="87" s="68" customFormat="1" ht="22" customHeight="1" spans="1:8">
      <c r="A87" s="80">
        <v>86</v>
      </c>
      <c r="B87" s="80" t="s">
        <v>66</v>
      </c>
      <c r="C87" s="80" t="s">
        <v>493</v>
      </c>
      <c r="D87" s="81" t="s">
        <v>576</v>
      </c>
      <c r="E87" s="81"/>
      <c r="F87" s="82">
        <v>46356</v>
      </c>
      <c r="G87" s="81" t="s">
        <v>566</v>
      </c>
      <c r="H87" s="81"/>
    </row>
    <row r="88" s="68" customFormat="1" ht="22" customHeight="1" spans="1:8">
      <c r="A88" s="80">
        <v>87</v>
      </c>
      <c r="B88" s="80" t="s">
        <v>66</v>
      </c>
      <c r="C88" s="80" t="s">
        <v>493</v>
      </c>
      <c r="D88" s="81" t="s">
        <v>577</v>
      </c>
      <c r="E88" s="81"/>
      <c r="F88" s="82">
        <v>46387</v>
      </c>
      <c r="G88" s="81" t="s">
        <v>566</v>
      </c>
      <c r="H88" s="81"/>
    </row>
    <row r="89" s="68" customFormat="1" ht="27" spans="1:8">
      <c r="A89" s="80">
        <v>88</v>
      </c>
      <c r="B89" s="80" t="s">
        <v>66</v>
      </c>
      <c r="C89" s="80" t="s">
        <v>493</v>
      </c>
      <c r="D89" s="81" t="s">
        <v>578</v>
      </c>
      <c r="E89" s="81"/>
      <c r="F89" s="82">
        <v>46142</v>
      </c>
      <c r="G89" s="81" t="s">
        <v>579</v>
      </c>
      <c r="H89" s="81"/>
    </row>
    <row r="90" s="68" customFormat="1" ht="27" spans="1:8">
      <c r="A90" s="80">
        <v>89</v>
      </c>
      <c r="B90" s="80" t="s">
        <v>66</v>
      </c>
      <c r="C90" s="80" t="s">
        <v>493</v>
      </c>
      <c r="D90" s="81" t="s">
        <v>580</v>
      </c>
      <c r="E90" s="81"/>
      <c r="F90" s="82">
        <v>46142</v>
      </c>
      <c r="G90" s="81" t="s">
        <v>579</v>
      </c>
      <c r="H90" s="81"/>
    </row>
    <row r="91" s="68" customFormat="1" ht="27" spans="1:8">
      <c r="A91" s="80">
        <v>90</v>
      </c>
      <c r="B91" s="80" t="s">
        <v>66</v>
      </c>
      <c r="C91" s="80" t="s">
        <v>493</v>
      </c>
      <c r="D91" s="81" t="s">
        <v>581</v>
      </c>
      <c r="E91" s="81"/>
      <c r="F91" s="82">
        <v>46142</v>
      </c>
      <c r="G91" s="81" t="s">
        <v>579</v>
      </c>
      <c r="H91" s="81"/>
    </row>
    <row r="92" s="68" customFormat="1" ht="27" spans="1:8">
      <c r="A92" s="80">
        <v>91</v>
      </c>
      <c r="B92" s="80" t="s">
        <v>66</v>
      </c>
      <c r="C92" s="80" t="s">
        <v>493</v>
      </c>
      <c r="D92" s="81" t="s">
        <v>582</v>
      </c>
      <c r="E92" s="81"/>
      <c r="F92" s="82">
        <v>46142</v>
      </c>
      <c r="G92" s="81" t="s">
        <v>579</v>
      </c>
      <c r="H92" s="81"/>
    </row>
    <row r="93" s="68" customFormat="1" ht="27" spans="1:8">
      <c r="A93" s="80">
        <v>92</v>
      </c>
      <c r="B93" s="80" t="s">
        <v>66</v>
      </c>
      <c r="C93" s="80" t="s">
        <v>493</v>
      </c>
      <c r="D93" s="81" t="s">
        <v>583</v>
      </c>
      <c r="E93" s="81"/>
      <c r="F93" s="82">
        <v>46173</v>
      </c>
      <c r="G93" s="81" t="s">
        <v>579</v>
      </c>
      <c r="H93" s="81"/>
    </row>
    <row r="94" s="68" customFormat="1" ht="27" spans="1:8">
      <c r="A94" s="80">
        <v>93</v>
      </c>
      <c r="B94" s="80" t="s">
        <v>66</v>
      </c>
      <c r="C94" s="80" t="s">
        <v>493</v>
      </c>
      <c r="D94" s="81" t="s">
        <v>584</v>
      </c>
      <c r="E94" s="81"/>
      <c r="F94" s="82">
        <v>46173</v>
      </c>
      <c r="G94" s="81" t="s">
        <v>579</v>
      </c>
      <c r="H94" s="81"/>
    </row>
    <row r="95" s="68" customFormat="1" ht="27" spans="1:8">
      <c r="A95" s="80">
        <v>94</v>
      </c>
      <c r="B95" s="80" t="s">
        <v>66</v>
      </c>
      <c r="C95" s="80" t="s">
        <v>493</v>
      </c>
      <c r="D95" s="81" t="s">
        <v>585</v>
      </c>
      <c r="E95" s="81"/>
      <c r="F95" s="82">
        <v>46173</v>
      </c>
      <c r="G95" s="81" t="s">
        <v>579</v>
      </c>
      <c r="H95" s="81"/>
    </row>
    <row r="96" s="68" customFormat="1" ht="27" spans="1:8">
      <c r="A96" s="80">
        <v>95</v>
      </c>
      <c r="B96" s="80" t="s">
        <v>66</v>
      </c>
      <c r="C96" s="80" t="s">
        <v>493</v>
      </c>
      <c r="D96" s="81" t="s">
        <v>586</v>
      </c>
      <c r="E96" s="81"/>
      <c r="F96" s="82">
        <v>46203</v>
      </c>
      <c r="G96" s="81" t="s">
        <v>579</v>
      </c>
      <c r="H96" s="81"/>
    </row>
    <row r="97" s="68" customFormat="1" ht="27" spans="1:8">
      <c r="A97" s="80">
        <v>96</v>
      </c>
      <c r="B97" s="80" t="s">
        <v>66</v>
      </c>
      <c r="C97" s="80" t="s">
        <v>493</v>
      </c>
      <c r="D97" s="81" t="s">
        <v>587</v>
      </c>
      <c r="E97" s="81"/>
      <c r="F97" s="82">
        <v>46203</v>
      </c>
      <c r="G97" s="81" t="s">
        <v>579</v>
      </c>
      <c r="H97" s="81"/>
    </row>
    <row r="98" s="68" customFormat="1" ht="27" spans="1:8">
      <c r="A98" s="80">
        <v>97</v>
      </c>
      <c r="B98" s="80" t="s">
        <v>66</v>
      </c>
      <c r="C98" s="80" t="s">
        <v>493</v>
      </c>
      <c r="D98" s="81" t="s">
        <v>588</v>
      </c>
      <c r="E98" s="81"/>
      <c r="F98" s="82">
        <v>46203</v>
      </c>
      <c r="G98" s="81" t="s">
        <v>579</v>
      </c>
      <c r="H98" s="81"/>
    </row>
    <row r="99" s="68" customFormat="1" ht="27" spans="1:8">
      <c r="A99" s="80">
        <v>98</v>
      </c>
      <c r="B99" s="80" t="s">
        <v>66</v>
      </c>
      <c r="C99" s="80" t="s">
        <v>493</v>
      </c>
      <c r="D99" s="81" t="s">
        <v>589</v>
      </c>
      <c r="E99" s="81"/>
      <c r="F99" s="82">
        <v>46203</v>
      </c>
      <c r="G99" s="81" t="s">
        <v>579</v>
      </c>
      <c r="H99" s="81"/>
    </row>
    <row r="100" s="68" customFormat="1" ht="27" spans="1:8">
      <c r="A100" s="80">
        <v>99</v>
      </c>
      <c r="B100" s="80" t="s">
        <v>66</v>
      </c>
      <c r="C100" s="80" t="s">
        <v>493</v>
      </c>
      <c r="D100" s="81" t="s">
        <v>590</v>
      </c>
      <c r="E100" s="81"/>
      <c r="F100" s="82">
        <v>46234</v>
      </c>
      <c r="G100" s="81" t="s">
        <v>579</v>
      </c>
      <c r="H100" s="81"/>
    </row>
    <row r="101" s="68" customFormat="1" ht="27" spans="1:8">
      <c r="A101" s="80">
        <v>100</v>
      </c>
      <c r="B101" s="80" t="s">
        <v>66</v>
      </c>
      <c r="C101" s="80" t="s">
        <v>493</v>
      </c>
      <c r="D101" s="81" t="s">
        <v>591</v>
      </c>
      <c r="E101" s="81"/>
      <c r="F101" s="82">
        <v>46234</v>
      </c>
      <c r="G101" s="81" t="s">
        <v>579</v>
      </c>
      <c r="H101" s="81"/>
    </row>
    <row r="102" s="68" customFormat="1" ht="27" spans="1:8">
      <c r="A102" s="80">
        <v>101</v>
      </c>
      <c r="B102" s="80" t="s">
        <v>66</v>
      </c>
      <c r="C102" s="80" t="s">
        <v>493</v>
      </c>
      <c r="D102" s="81" t="s">
        <v>592</v>
      </c>
      <c r="E102" s="81"/>
      <c r="F102" s="82">
        <v>46295</v>
      </c>
      <c r="G102" s="81" t="s">
        <v>579</v>
      </c>
      <c r="H102" s="81"/>
    </row>
    <row r="103" s="68" customFormat="1" ht="27" spans="1:8">
      <c r="A103" s="80">
        <v>102</v>
      </c>
      <c r="B103" s="80" t="s">
        <v>66</v>
      </c>
      <c r="C103" s="80" t="s">
        <v>493</v>
      </c>
      <c r="D103" s="81" t="s">
        <v>593</v>
      </c>
      <c r="E103" s="81"/>
      <c r="F103" s="82">
        <v>46295</v>
      </c>
      <c r="G103" s="81" t="s">
        <v>579</v>
      </c>
      <c r="H103" s="81"/>
    </row>
    <row r="104" s="68" customFormat="1" ht="27" spans="1:8">
      <c r="A104" s="80">
        <v>103</v>
      </c>
      <c r="B104" s="80" t="s">
        <v>66</v>
      </c>
      <c r="C104" s="80" t="s">
        <v>493</v>
      </c>
      <c r="D104" s="81" t="s">
        <v>594</v>
      </c>
      <c r="E104" s="81"/>
      <c r="F104" s="82">
        <v>46295</v>
      </c>
      <c r="G104" s="81" t="s">
        <v>579</v>
      </c>
      <c r="H104" s="81"/>
    </row>
    <row r="105" s="68" customFormat="1" ht="27" spans="1:8">
      <c r="A105" s="80">
        <v>104</v>
      </c>
      <c r="B105" s="80" t="s">
        <v>66</v>
      </c>
      <c r="C105" s="80" t="s">
        <v>493</v>
      </c>
      <c r="D105" s="81" t="s">
        <v>595</v>
      </c>
      <c r="E105" s="81"/>
      <c r="F105" s="82">
        <v>46387</v>
      </c>
      <c r="G105" s="81" t="s">
        <v>579</v>
      </c>
      <c r="H105" s="81"/>
    </row>
    <row r="106" s="68" customFormat="1" ht="27" spans="1:8">
      <c r="A106" s="80">
        <v>105</v>
      </c>
      <c r="B106" s="80" t="s">
        <v>66</v>
      </c>
      <c r="C106" s="80" t="s">
        <v>493</v>
      </c>
      <c r="D106" s="81" t="s">
        <v>596</v>
      </c>
      <c r="E106" s="81"/>
      <c r="F106" s="82">
        <v>46387</v>
      </c>
      <c r="G106" s="81" t="s">
        <v>579</v>
      </c>
      <c r="H106" s="81"/>
    </row>
    <row r="107" s="68" customFormat="1" ht="27" spans="1:8">
      <c r="A107" s="80">
        <v>106</v>
      </c>
      <c r="B107" s="80" t="s">
        <v>66</v>
      </c>
      <c r="C107" s="80" t="s">
        <v>493</v>
      </c>
      <c r="D107" s="81" t="s">
        <v>597</v>
      </c>
      <c r="E107" s="81"/>
      <c r="F107" s="82">
        <v>46387</v>
      </c>
      <c r="G107" s="81" t="s">
        <v>579</v>
      </c>
      <c r="H107" s="81"/>
    </row>
    <row r="108" s="68" customFormat="1" ht="27" spans="1:8">
      <c r="A108" s="80">
        <v>107</v>
      </c>
      <c r="B108" s="80" t="s">
        <v>66</v>
      </c>
      <c r="C108" s="80" t="s">
        <v>493</v>
      </c>
      <c r="D108" s="81" t="s">
        <v>598</v>
      </c>
      <c r="E108" s="81"/>
      <c r="F108" s="82">
        <v>46387</v>
      </c>
      <c r="G108" s="81" t="s">
        <v>579</v>
      </c>
      <c r="H108" s="81"/>
    </row>
    <row r="109" s="68" customFormat="1" ht="22" customHeight="1" spans="1:8">
      <c r="A109" s="80">
        <v>108</v>
      </c>
      <c r="B109" s="80" t="s">
        <v>66</v>
      </c>
      <c r="C109" s="80" t="s">
        <v>493</v>
      </c>
      <c r="D109" s="81" t="s">
        <v>599</v>
      </c>
      <c r="E109" s="81"/>
      <c r="F109" s="82">
        <v>46142</v>
      </c>
      <c r="G109" s="81" t="s">
        <v>86</v>
      </c>
      <c r="H109" s="81"/>
    </row>
    <row r="110" s="68" customFormat="1" ht="22" customHeight="1" spans="1:8">
      <c r="A110" s="80">
        <v>109</v>
      </c>
      <c r="B110" s="80" t="s">
        <v>66</v>
      </c>
      <c r="C110" s="80" t="s">
        <v>493</v>
      </c>
      <c r="D110" s="81" t="s">
        <v>600</v>
      </c>
      <c r="E110" s="81"/>
      <c r="F110" s="82">
        <v>46142</v>
      </c>
      <c r="G110" s="81" t="s">
        <v>86</v>
      </c>
      <c r="H110" s="81"/>
    </row>
    <row r="111" s="68" customFormat="1" ht="22" customHeight="1" spans="1:8">
      <c r="A111" s="80">
        <v>110</v>
      </c>
      <c r="B111" s="80" t="s">
        <v>66</v>
      </c>
      <c r="C111" s="80" t="s">
        <v>493</v>
      </c>
      <c r="D111" s="81" t="s">
        <v>601</v>
      </c>
      <c r="E111" s="81"/>
      <c r="F111" s="82">
        <v>46173</v>
      </c>
      <c r="G111" s="81" t="s">
        <v>86</v>
      </c>
      <c r="H111" s="81"/>
    </row>
    <row r="112" s="68" customFormat="1" ht="22" customHeight="1" spans="1:8">
      <c r="A112" s="80">
        <v>111</v>
      </c>
      <c r="B112" s="80" t="s">
        <v>66</v>
      </c>
      <c r="C112" s="80" t="s">
        <v>493</v>
      </c>
      <c r="D112" s="81" t="s">
        <v>602</v>
      </c>
      <c r="E112" s="81"/>
      <c r="F112" s="82">
        <v>46173</v>
      </c>
      <c r="G112" s="81" t="s">
        <v>86</v>
      </c>
      <c r="H112" s="81"/>
    </row>
    <row r="113" s="68" customFormat="1" ht="27" spans="1:8">
      <c r="A113" s="80">
        <v>112</v>
      </c>
      <c r="B113" s="80" t="s">
        <v>66</v>
      </c>
      <c r="C113" s="80" t="s">
        <v>493</v>
      </c>
      <c r="D113" s="81" t="s">
        <v>603</v>
      </c>
      <c r="E113" s="81"/>
      <c r="F113" s="82">
        <v>46173</v>
      </c>
      <c r="G113" s="81" t="s">
        <v>86</v>
      </c>
      <c r="H113" s="81"/>
    </row>
    <row r="114" s="68" customFormat="1" ht="22" customHeight="1" spans="1:8">
      <c r="A114" s="80">
        <v>113</v>
      </c>
      <c r="B114" s="80" t="s">
        <v>66</v>
      </c>
      <c r="C114" s="80" t="s">
        <v>493</v>
      </c>
      <c r="D114" s="81" t="s">
        <v>604</v>
      </c>
      <c r="E114" s="81"/>
      <c r="F114" s="82">
        <v>46203</v>
      </c>
      <c r="G114" s="81" t="s">
        <v>86</v>
      </c>
      <c r="H114" s="81"/>
    </row>
    <row r="115" s="68" customFormat="1" ht="22" customHeight="1" spans="1:8">
      <c r="A115" s="80">
        <v>114</v>
      </c>
      <c r="B115" s="80" t="s">
        <v>66</v>
      </c>
      <c r="C115" s="80" t="s">
        <v>493</v>
      </c>
      <c r="D115" s="81" t="s">
        <v>604</v>
      </c>
      <c r="E115" s="81"/>
      <c r="F115" s="82">
        <v>46234</v>
      </c>
      <c r="G115" s="81" t="s">
        <v>86</v>
      </c>
      <c r="H115" s="81"/>
    </row>
    <row r="116" s="68" customFormat="1" ht="22" customHeight="1" spans="1:8">
      <c r="A116" s="80">
        <v>115</v>
      </c>
      <c r="B116" s="80" t="s">
        <v>66</v>
      </c>
      <c r="C116" s="80" t="s">
        <v>493</v>
      </c>
      <c r="D116" s="81" t="s">
        <v>604</v>
      </c>
      <c r="E116" s="81"/>
      <c r="F116" s="82">
        <v>46265</v>
      </c>
      <c r="G116" s="81" t="s">
        <v>86</v>
      </c>
      <c r="H116" s="81"/>
    </row>
    <row r="117" s="68" customFormat="1" ht="22" customHeight="1" spans="1:8">
      <c r="A117" s="80">
        <v>116</v>
      </c>
      <c r="B117" s="80" t="s">
        <v>66</v>
      </c>
      <c r="C117" s="80" t="s">
        <v>493</v>
      </c>
      <c r="D117" s="81" t="s">
        <v>605</v>
      </c>
      <c r="E117" s="81"/>
      <c r="F117" s="82">
        <v>46203</v>
      </c>
      <c r="G117" s="81" t="s">
        <v>86</v>
      </c>
      <c r="H117" s="81"/>
    </row>
    <row r="118" s="68" customFormat="1" ht="22" customHeight="1" spans="1:8">
      <c r="A118" s="80">
        <v>117</v>
      </c>
      <c r="B118" s="80" t="s">
        <v>66</v>
      </c>
      <c r="C118" s="80" t="s">
        <v>493</v>
      </c>
      <c r="D118" s="81" t="s">
        <v>605</v>
      </c>
      <c r="E118" s="81"/>
      <c r="F118" s="82">
        <v>46234</v>
      </c>
      <c r="G118" s="81" t="s">
        <v>86</v>
      </c>
      <c r="H118" s="81"/>
    </row>
    <row r="119" s="68" customFormat="1" ht="22" customHeight="1" spans="1:8">
      <c r="A119" s="80">
        <v>118</v>
      </c>
      <c r="B119" s="80" t="s">
        <v>66</v>
      </c>
      <c r="C119" s="80" t="s">
        <v>493</v>
      </c>
      <c r="D119" s="81" t="s">
        <v>605</v>
      </c>
      <c r="E119" s="81"/>
      <c r="F119" s="82">
        <v>46265</v>
      </c>
      <c r="G119" s="81" t="s">
        <v>86</v>
      </c>
      <c r="H119" s="81"/>
    </row>
    <row r="120" s="68" customFormat="1" ht="27" spans="1:8">
      <c r="A120" s="80">
        <v>119</v>
      </c>
      <c r="B120" s="80" t="s">
        <v>66</v>
      </c>
      <c r="C120" s="80" t="s">
        <v>493</v>
      </c>
      <c r="D120" s="81" t="s">
        <v>606</v>
      </c>
      <c r="E120" s="81"/>
      <c r="F120" s="82">
        <v>46265</v>
      </c>
      <c r="G120" s="81" t="s">
        <v>86</v>
      </c>
      <c r="H120" s="81"/>
    </row>
    <row r="121" s="68" customFormat="1" ht="22" customHeight="1" spans="1:8">
      <c r="A121" s="80">
        <v>120</v>
      </c>
      <c r="B121" s="80" t="s">
        <v>66</v>
      </c>
      <c r="C121" s="80" t="s">
        <v>493</v>
      </c>
      <c r="D121" s="81" t="s">
        <v>607</v>
      </c>
      <c r="E121" s="81"/>
      <c r="F121" s="82">
        <v>46295</v>
      </c>
      <c r="G121" s="81" t="s">
        <v>86</v>
      </c>
      <c r="H121" s="81"/>
    </row>
    <row r="122" s="68" customFormat="1" ht="22" customHeight="1" spans="1:8">
      <c r="A122" s="80">
        <v>121</v>
      </c>
      <c r="B122" s="80" t="s">
        <v>66</v>
      </c>
      <c r="C122" s="80" t="s">
        <v>493</v>
      </c>
      <c r="D122" s="81" t="s">
        <v>608</v>
      </c>
      <c r="E122" s="81"/>
      <c r="F122" s="82">
        <v>46326</v>
      </c>
      <c r="G122" s="81" t="s">
        <v>86</v>
      </c>
      <c r="H122" s="81"/>
    </row>
    <row r="123" s="68" customFormat="1" ht="22" customHeight="1" spans="1:8">
      <c r="A123" s="80">
        <v>122</v>
      </c>
      <c r="B123" s="80" t="s">
        <v>66</v>
      </c>
      <c r="C123" s="80" t="s">
        <v>493</v>
      </c>
      <c r="D123" s="81" t="s">
        <v>608</v>
      </c>
      <c r="E123" s="81"/>
      <c r="F123" s="82">
        <v>46356</v>
      </c>
      <c r="G123" s="81" t="s">
        <v>86</v>
      </c>
      <c r="H123" s="81"/>
    </row>
    <row r="124" s="68" customFormat="1" ht="22" customHeight="1" spans="1:8">
      <c r="A124" s="80">
        <v>123</v>
      </c>
      <c r="B124" s="80" t="s">
        <v>66</v>
      </c>
      <c r="C124" s="80" t="s">
        <v>493</v>
      </c>
      <c r="D124" s="81" t="s">
        <v>608</v>
      </c>
      <c r="E124" s="81"/>
      <c r="F124" s="82">
        <v>46387</v>
      </c>
      <c r="G124" s="81" t="s">
        <v>86</v>
      </c>
      <c r="H124" s="81"/>
    </row>
    <row r="125" s="68" customFormat="1" ht="27" spans="1:8">
      <c r="A125" s="80">
        <v>124</v>
      </c>
      <c r="B125" s="80" t="s">
        <v>66</v>
      </c>
      <c r="C125" s="80" t="s">
        <v>493</v>
      </c>
      <c r="D125" s="81" t="s">
        <v>609</v>
      </c>
      <c r="E125" s="81"/>
      <c r="F125" s="82"/>
      <c r="G125" s="81" t="s">
        <v>90</v>
      </c>
      <c r="H125" s="81"/>
    </row>
    <row r="126" s="68" customFormat="1" ht="27" spans="1:8">
      <c r="A126" s="80">
        <v>125</v>
      </c>
      <c r="B126" s="80" t="s">
        <v>66</v>
      </c>
      <c r="C126" s="80" t="s">
        <v>493</v>
      </c>
      <c r="D126" s="81" t="s">
        <v>610</v>
      </c>
      <c r="E126" s="81"/>
      <c r="F126" s="82"/>
      <c r="G126" s="81" t="s">
        <v>90</v>
      </c>
      <c r="H126" s="81"/>
    </row>
    <row r="127" s="68" customFormat="1" ht="27" spans="1:8">
      <c r="A127" s="80">
        <v>126</v>
      </c>
      <c r="B127" s="80" t="s">
        <v>66</v>
      </c>
      <c r="C127" s="80" t="s">
        <v>493</v>
      </c>
      <c r="D127" s="81" t="s">
        <v>611</v>
      </c>
      <c r="E127" s="81"/>
      <c r="F127" s="82"/>
      <c r="G127" s="81" t="s">
        <v>90</v>
      </c>
      <c r="H127" s="81"/>
    </row>
    <row r="128" s="68" customFormat="1" ht="27" spans="1:8">
      <c r="A128" s="80">
        <v>127</v>
      </c>
      <c r="B128" s="80" t="s">
        <v>66</v>
      </c>
      <c r="C128" s="80" t="s">
        <v>493</v>
      </c>
      <c r="D128" s="81" t="s">
        <v>612</v>
      </c>
      <c r="E128" s="81"/>
      <c r="F128" s="82"/>
      <c r="G128" s="81" t="s">
        <v>90</v>
      </c>
      <c r="H128" s="81"/>
    </row>
    <row r="129" s="68" customFormat="1" ht="27" spans="1:8">
      <c r="A129" s="80">
        <v>128</v>
      </c>
      <c r="B129" s="80" t="s">
        <v>66</v>
      </c>
      <c r="C129" s="80" t="s">
        <v>493</v>
      </c>
      <c r="D129" s="81" t="s">
        <v>613</v>
      </c>
      <c r="E129" s="81"/>
      <c r="F129" s="82"/>
      <c r="G129" s="81" t="s">
        <v>90</v>
      </c>
      <c r="H129" s="81"/>
    </row>
    <row r="130" s="68" customFormat="1" ht="27" spans="1:8">
      <c r="A130" s="80">
        <v>129</v>
      </c>
      <c r="B130" s="80" t="s">
        <v>66</v>
      </c>
      <c r="C130" s="80" t="s">
        <v>493</v>
      </c>
      <c r="D130" s="81" t="s">
        <v>614</v>
      </c>
      <c r="E130" s="81"/>
      <c r="F130" s="82"/>
      <c r="G130" s="81" t="s">
        <v>90</v>
      </c>
      <c r="H130" s="81"/>
    </row>
    <row r="131" s="68" customFormat="1" ht="27" spans="1:8">
      <c r="A131" s="80">
        <v>130</v>
      </c>
      <c r="B131" s="80" t="s">
        <v>66</v>
      </c>
      <c r="C131" s="80" t="s">
        <v>493</v>
      </c>
      <c r="D131" s="81" t="s">
        <v>615</v>
      </c>
      <c r="E131" s="81"/>
      <c r="F131" s="82"/>
      <c r="G131" s="81" t="s">
        <v>90</v>
      </c>
      <c r="H131" s="81"/>
    </row>
    <row r="132" s="68" customFormat="1" ht="27" spans="1:8">
      <c r="A132" s="80">
        <v>131</v>
      </c>
      <c r="B132" s="80" t="s">
        <v>66</v>
      </c>
      <c r="C132" s="80" t="s">
        <v>493</v>
      </c>
      <c r="D132" s="81" t="s">
        <v>616</v>
      </c>
      <c r="E132" s="81"/>
      <c r="F132" s="82"/>
      <c r="G132" s="81" t="s">
        <v>90</v>
      </c>
      <c r="H132" s="81"/>
    </row>
    <row r="133" s="68" customFormat="1" ht="27" spans="1:8">
      <c r="A133" s="80">
        <v>132</v>
      </c>
      <c r="B133" s="80" t="s">
        <v>66</v>
      </c>
      <c r="C133" s="80" t="s">
        <v>493</v>
      </c>
      <c r="D133" s="81" t="s">
        <v>617</v>
      </c>
      <c r="E133" s="81"/>
      <c r="F133" s="82"/>
      <c r="G133" s="81" t="s">
        <v>90</v>
      </c>
      <c r="H133" s="81"/>
    </row>
    <row r="134" s="68" customFormat="1" ht="27" spans="1:8">
      <c r="A134" s="80">
        <v>133</v>
      </c>
      <c r="B134" s="80" t="s">
        <v>66</v>
      </c>
      <c r="C134" s="80" t="s">
        <v>493</v>
      </c>
      <c r="D134" s="81" t="s">
        <v>618</v>
      </c>
      <c r="E134" s="81"/>
      <c r="F134" s="82"/>
      <c r="G134" s="81" t="s">
        <v>90</v>
      </c>
      <c r="H134" s="81"/>
    </row>
    <row r="135" s="68" customFormat="1" ht="27" spans="1:8">
      <c r="A135" s="80">
        <v>134</v>
      </c>
      <c r="B135" s="80" t="s">
        <v>66</v>
      </c>
      <c r="C135" s="80" t="s">
        <v>493</v>
      </c>
      <c r="D135" s="81" t="s">
        <v>619</v>
      </c>
      <c r="E135" s="81"/>
      <c r="F135" s="82"/>
      <c r="G135" s="81" t="s">
        <v>90</v>
      </c>
      <c r="H135" s="81"/>
    </row>
    <row r="136" s="68" customFormat="1" ht="27" spans="1:8">
      <c r="A136" s="80">
        <v>135</v>
      </c>
      <c r="B136" s="80" t="s">
        <v>66</v>
      </c>
      <c r="C136" s="80" t="s">
        <v>493</v>
      </c>
      <c r="D136" s="81" t="s">
        <v>620</v>
      </c>
      <c r="E136" s="81"/>
      <c r="F136" s="82"/>
      <c r="G136" s="81" t="s">
        <v>90</v>
      </c>
      <c r="H136" s="81"/>
    </row>
    <row r="137" s="68" customFormat="1" ht="27" spans="1:8">
      <c r="A137" s="80">
        <v>136</v>
      </c>
      <c r="B137" s="80" t="s">
        <v>66</v>
      </c>
      <c r="C137" s="80" t="s">
        <v>493</v>
      </c>
      <c r="D137" s="81" t="s">
        <v>621</v>
      </c>
      <c r="E137" s="81"/>
      <c r="F137" s="82"/>
      <c r="G137" s="81" t="s">
        <v>90</v>
      </c>
      <c r="H137" s="81"/>
    </row>
    <row r="138" s="68" customFormat="1" ht="27" spans="1:8">
      <c r="A138" s="80">
        <v>137</v>
      </c>
      <c r="B138" s="80" t="s">
        <v>66</v>
      </c>
      <c r="C138" s="80" t="s">
        <v>493</v>
      </c>
      <c r="D138" s="81" t="s">
        <v>622</v>
      </c>
      <c r="E138" s="81"/>
      <c r="F138" s="82"/>
      <c r="G138" s="81" t="s">
        <v>90</v>
      </c>
      <c r="H138" s="81"/>
    </row>
    <row r="139" s="68" customFormat="1" ht="27" spans="1:8">
      <c r="A139" s="80">
        <v>138</v>
      </c>
      <c r="B139" s="80" t="s">
        <v>66</v>
      </c>
      <c r="C139" s="80" t="s">
        <v>493</v>
      </c>
      <c r="D139" s="81" t="s">
        <v>623</v>
      </c>
      <c r="E139" s="81"/>
      <c r="F139" s="82"/>
      <c r="G139" s="81" t="s">
        <v>90</v>
      </c>
      <c r="H139" s="81"/>
    </row>
    <row r="140" s="68" customFormat="1" ht="27" spans="1:8">
      <c r="A140" s="80">
        <v>139</v>
      </c>
      <c r="B140" s="80" t="s">
        <v>66</v>
      </c>
      <c r="C140" s="80" t="s">
        <v>493</v>
      </c>
      <c r="D140" s="81" t="s">
        <v>624</v>
      </c>
      <c r="E140" s="81"/>
      <c r="F140" s="82"/>
      <c r="G140" s="81" t="s">
        <v>90</v>
      </c>
      <c r="H140" s="81"/>
    </row>
    <row r="141" s="68" customFormat="1" ht="27" spans="1:8">
      <c r="A141" s="80">
        <v>140</v>
      </c>
      <c r="B141" s="80" t="s">
        <v>66</v>
      </c>
      <c r="C141" s="80" t="s">
        <v>493</v>
      </c>
      <c r="D141" s="81" t="s">
        <v>625</v>
      </c>
      <c r="E141" s="81"/>
      <c r="F141" s="82"/>
      <c r="G141" s="81" t="s">
        <v>90</v>
      </c>
      <c r="H141" s="81"/>
    </row>
    <row r="142" s="68" customFormat="1" ht="27" spans="1:8">
      <c r="A142" s="80">
        <v>141</v>
      </c>
      <c r="B142" s="80" t="s">
        <v>66</v>
      </c>
      <c r="C142" s="80" t="s">
        <v>493</v>
      </c>
      <c r="D142" s="81" t="s">
        <v>626</v>
      </c>
      <c r="E142" s="81"/>
      <c r="F142" s="82"/>
      <c r="G142" s="81" t="s">
        <v>90</v>
      </c>
      <c r="H142" s="81"/>
    </row>
    <row r="143" s="68" customFormat="1" ht="27" spans="1:8">
      <c r="A143" s="80">
        <v>142</v>
      </c>
      <c r="B143" s="80" t="s">
        <v>66</v>
      </c>
      <c r="C143" s="80" t="s">
        <v>493</v>
      </c>
      <c r="D143" s="81" t="s">
        <v>627</v>
      </c>
      <c r="E143" s="81"/>
      <c r="F143" s="82"/>
      <c r="G143" s="81" t="s">
        <v>90</v>
      </c>
      <c r="H143" s="81"/>
    </row>
    <row r="144" s="68" customFormat="1" ht="27" spans="1:8">
      <c r="A144" s="80">
        <v>143</v>
      </c>
      <c r="B144" s="80" t="s">
        <v>66</v>
      </c>
      <c r="C144" s="80" t="s">
        <v>493</v>
      </c>
      <c r="D144" s="81" t="s">
        <v>628</v>
      </c>
      <c r="E144" s="81"/>
      <c r="F144" s="82"/>
      <c r="G144" s="81" t="s">
        <v>90</v>
      </c>
      <c r="H144" s="81"/>
    </row>
    <row r="145" s="68" customFormat="1" ht="27" spans="1:8">
      <c r="A145" s="80">
        <v>144</v>
      </c>
      <c r="B145" s="80" t="s">
        <v>66</v>
      </c>
      <c r="C145" s="80" t="s">
        <v>493</v>
      </c>
      <c r="D145" s="81" t="s">
        <v>629</v>
      </c>
      <c r="E145" s="81"/>
      <c r="F145" s="82"/>
      <c r="G145" s="81" t="s">
        <v>90</v>
      </c>
      <c r="H145" s="81"/>
    </row>
    <row r="146" s="68" customFormat="1" ht="27" spans="1:8">
      <c r="A146" s="80">
        <v>145</v>
      </c>
      <c r="B146" s="80" t="s">
        <v>66</v>
      </c>
      <c r="C146" s="80" t="s">
        <v>493</v>
      </c>
      <c r="D146" s="81" t="s">
        <v>630</v>
      </c>
      <c r="E146" s="81"/>
      <c r="F146" s="82"/>
      <c r="G146" s="81" t="s">
        <v>90</v>
      </c>
      <c r="H146" s="81"/>
    </row>
    <row r="147" s="68" customFormat="1" ht="27" spans="1:8">
      <c r="A147" s="80">
        <v>146</v>
      </c>
      <c r="B147" s="80" t="s">
        <v>66</v>
      </c>
      <c r="C147" s="80" t="s">
        <v>493</v>
      </c>
      <c r="D147" s="81" t="s">
        <v>631</v>
      </c>
      <c r="E147" s="81"/>
      <c r="F147" s="82"/>
      <c r="G147" s="81" t="s">
        <v>90</v>
      </c>
      <c r="H147" s="81"/>
    </row>
    <row r="148" s="68" customFormat="1" ht="27" spans="1:8">
      <c r="A148" s="80">
        <v>147</v>
      </c>
      <c r="B148" s="80" t="s">
        <v>66</v>
      </c>
      <c r="C148" s="80" t="s">
        <v>493</v>
      </c>
      <c r="D148" s="81" t="s">
        <v>632</v>
      </c>
      <c r="E148" s="81"/>
      <c r="F148" s="82"/>
      <c r="G148" s="81" t="s">
        <v>90</v>
      </c>
      <c r="H148" s="81"/>
    </row>
    <row r="149" s="68" customFormat="1" ht="27" spans="1:8">
      <c r="A149" s="80">
        <v>148</v>
      </c>
      <c r="B149" s="80" t="s">
        <v>66</v>
      </c>
      <c r="C149" s="80" t="s">
        <v>493</v>
      </c>
      <c r="D149" s="81" t="s">
        <v>633</v>
      </c>
      <c r="E149" s="81"/>
      <c r="F149" s="82"/>
      <c r="G149" s="81" t="s">
        <v>90</v>
      </c>
      <c r="H149" s="81"/>
    </row>
    <row r="150" s="68" customFormat="1" ht="27" spans="1:8">
      <c r="A150" s="80">
        <v>149</v>
      </c>
      <c r="B150" s="80" t="s">
        <v>66</v>
      </c>
      <c r="C150" s="80" t="s">
        <v>493</v>
      </c>
      <c r="D150" s="81" t="s">
        <v>634</v>
      </c>
      <c r="E150" s="81"/>
      <c r="F150" s="82"/>
      <c r="G150" s="81" t="s">
        <v>90</v>
      </c>
      <c r="H150" s="81"/>
    </row>
    <row r="151" s="68" customFormat="1" ht="27" spans="1:8">
      <c r="A151" s="80">
        <v>150</v>
      </c>
      <c r="B151" s="80" t="s">
        <v>66</v>
      </c>
      <c r="C151" s="80" t="s">
        <v>493</v>
      </c>
      <c r="D151" s="81" t="s">
        <v>635</v>
      </c>
      <c r="E151" s="81"/>
      <c r="F151" s="82"/>
      <c r="G151" s="81" t="s">
        <v>90</v>
      </c>
      <c r="H151" s="81"/>
    </row>
    <row r="152" s="68" customFormat="1" ht="27" spans="1:8">
      <c r="A152" s="80">
        <v>151</v>
      </c>
      <c r="B152" s="80" t="s">
        <v>66</v>
      </c>
      <c r="C152" s="80" t="s">
        <v>493</v>
      </c>
      <c r="D152" s="81" t="s">
        <v>636</v>
      </c>
      <c r="E152" s="81"/>
      <c r="F152" s="82"/>
      <c r="G152" s="81" t="s">
        <v>90</v>
      </c>
      <c r="H152" s="81"/>
    </row>
    <row r="153" s="68" customFormat="1" ht="27" spans="1:8">
      <c r="A153" s="80">
        <v>152</v>
      </c>
      <c r="B153" s="80" t="s">
        <v>66</v>
      </c>
      <c r="C153" s="80" t="s">
        <v>493</v>
      </c>
      <c r="D153" s="81" t="s">
        <v>637</v>
      </c>
      <c r="E153" s="81"/>
      <c r="F153" s="82"/>
      <c r="G153" s="81" t="s">
        <v>90</v>
      </c>
      <c r="H153" s="81"/>
    </row>
    <row r="154" s="68" customFormat="1" ht="27" spans="1:8">
      <c r="A154" s="80">
        <v>153</v>
      </c>
      <c r="B154" s="80" t="s">
        <v>66</v>
      </c>
      <c r="C154" s="80" t="s">
        <v>493</v>
      </c>
      <c r="D154" s="81" t="s">
        <v>638</v>
      </c>
      <c r="E154" s="81"/>
      <c r="F154" s="82"/>
      <c r="G154" s="81" t="s">
        <v>90</v>
      </c>
      <c r="H154" s="81"/>
    </row>
    <row r="155" s="68" customFormat="1" ht="27" spans="1:8">
      <c r="A155" s="80">
        <v>154</v>
      </c>
      <c r="B155" s="80" t="s">
        <v>66</v>
      </c>
      <c r="C155" s="80" t="s">
        <v>493</v>
      </c>
      <c r="D155" s="81" t="s">
        <v>639</v>
      </c>
      <c r="E155" s="81"/>
      <c r="F155" s="82"/>
      <c r="G155" s="81" t="s">
        <v>90</v>
      </c>
      <c r="H155" s="81"/>
    </row>
    <row r="156" s="68" customFormat="1" ht="27" spans="1:8">
      <c r="A156" s="80">
        <v>155</v>
      </c>
      <c r="B156" s="80" t="s">
        <v>66</v>
      </c>
      <c r="C156" s="80" t="s">
        <v>493</v>
      </c>
      <c r="D156" s="81" t="s">
        <v>640</v>
      </c>
      <c r="E156" s="81"/>
      <c r="F156" s="82"/>
      <c r="G156" s="81" t="s">
        <v>90</v>
      </c>
      <c r="H156" s="81"/>
    </row>
    <row r="157" s="68" customFormat="1" ht="40.5" spans="1:8">
      <c r="A157" s="80">
        <v>156</v>
      </c>
      <c r="B157" s="80" t="s">
        <v>66</v>
      </c>
      <c r="C157" s="80" t="s">
        <v>493</v>
      </c>
      <c r="D157" s="81" t="s">
        <v>641</v>
      </c>
      <c r="E157" s="81"/>
      <c r="F157" s="82"/>
      <c r="G157" s="81" t="s">
        <v>90</v>
      </c>
      <c r="H157" s="81"/>
    </row>
    <row r="158" s="68" customFormat="1" ht="22" customHeight="1" spans="1:8">
      <c r="A158" s="80">
        <v>157</v>
      </c>
      <c r="B158" s="80" t="s">
        <v>66</v>
      </c>
      <c r="C158" s="80" t="s">
        <v>493</v>
      </c>
      <c r="D158" s="81" t="s">
        <v>642</v>
      </c>
      <c r="E158" s="81"/>
      <c r="F158" s="82"/>
      <c r="G158" s="81" t="s">
        <v>643</v>
      </c>
      <c r="H158" s="81"/>
    </row>
    <row r="159" s="68" customFormat="1" ht="22" customHeight="1" spans="1:8">
      <c r="A159" s="80">
        <v>158</v>
      </c>
      <c r="B159" s="80" t="s">
        <v>66</v>
      </c>
      <c r="C159" s="80" t="s">
        <v>493</v>
      </c>
      <c r="D159" s="81" t="s">
        <v>644</v>
      </c>
      <c r="E159" s="81"/>
      <c r="F159" s="82"/>
      <c r="G159" s="81" t="s">
        <v>643</v>
      </c>
      <c r="H159" s="81"/>
    </row>
    <row r="160" s="68" customFormat="1" ht="22" customHeight="1" spans="1:8">
      <c r="A160" s="80">
        <v>159</v>
      </c>
      <c r="B160" s="80" t="s">
        <v>66</v>
      </c>
      <c r="C160" s="80" t="s">
        <v>493</v>
      </c>
      <c r="D160" s="81" t="s">
        <v>645</v>
      </c>
      <c r="E160" s="81"/>
      <c r="F160" s="82"/>
      <c r="G160" s="81" t="s">
        <v>643</v>
      </c>
      <c r="H160" s="81"/>
    </row>
    <row r="161" s="68" customFormat="1" ht="22" customHeight="1" spans="1:8">
      <c r="A161" s="80">
        <v>160</v>
      </c>
      <c r="B161" s="80" t="s">
        <v>66</v>
      </c>
      <c r="C161" s="80" t="s">
        <v>493</v>
      </c>
      <c r="D161" s="81" t="s">
        <v>646</v>
      </c>
      <c r="E161" s="81"/>
      <c r="F161" s="82"/>
      <c r="G161" s="81" t="s">
        <v>643</v>
      </c>
      <c r="H161" s="81"/>
    </row>
    <row r="162" s="68" customFormat="1" ht="22" customHeight="1" spans="1:8">
      <c r="A162" s="80">
        <v>161</v>
      </c>
      <c r="B162" s="80" t="s">
        <v>66</v>
      </c>
      <c r="C162" s="80" t="s">
        <v>493</v>
      </c>
      <c r="D162" s="81" t="s">
        <v>647</v>
      </c>
      <c r="E162" s="81"/>
      <c r="F162" s="82"/>
      <c r="G162" s="81" t="s">
        <v>643</v>
      </c>
      <c r="H162" s="81"/>
    </row>
    <row r="163" s="68" customFormat="1" ht="22" customHeight="1" spans="1:8">
      <c r="A163" s="80">
        <v>162</v>
      </c>
      <c r="B163" s="80" t="s">
        <v>66</v>
      </c>
      <c r="C163" s="80" t="s">
        <v>493</v>
      </c>
      <c r="D163" s="81" t="s">
        <v>648</v>
      </c>
      <c r="E163" s="81"/>
      <c r="F163" s="82"/>
      <c r="G163" s="81" t="s">
        <v>643</v>
      </c>
      <c r="H163" s="81"/>
    </row>
    <row r="164" s="68" customFormat="1" ht="22" customHeight="1" spans="1:8">
      <c r="A164" s="80">
        <v>163</v>
      </c>
      <c r="B164" s="80" t="s">
        <v>66</v>
      </c>
      <c r="C164" s="80" t="s">
        <v>493</v>
      </c>
      <c r="D164" s="81" t="s">
        <v>649</v>
      </c>
      <c r="E164" s="81"/>
      <c r="F164" s="82"/>
      <c r="G164" s="81" t="s">
        <v>643</v>
      </c>
      <c r="H164" s="81"/>
    </row>
    <row r="165" s="68" customFormat="1" ht="22" customHeight="1" spans="1:8">
      <c r="A165" s="80">
        <v>164</v>
      </c>
      <c r="B165" s="80" t="s">
        <v>66</v>
      </c>
      <c r="C165" s="80" t="s">
        <v>493</v>
      </c>
      <c r="D165" s="81" t="s">
        <v>650</v>
      </c>
      <c r="E165" s="81"/>
      <c r="F165" s="82"/>
      <c r="G165" s="81" t="s">
        <v>643</v>
      </c>
      <c r="H165" s="81"/>
    </row>
    <row r="166" s="68" customFormat="1" ht="22" customHeight="1" spans="1:8">
      <c r="A166" s="80">
        <v>165</v>
      </c>
      <c r="B166" s="80" t="s">
        <v>66</v>
      </c>
      <c r="C166" s="80" t="s">
        <v>493</v>
      </c>
      <c r="D166" s="81" t="s">
        <v>651</v>
      </c>
      <c r="E166" s="81"/>
      <c r="F166" s="82"/>
      <c r="G166" s="81" t="s">
        <v>643</v>
      </c>
      <c r="H166" s="81"/>
    </row>
    <row r="167" s="68" customFormat="1" ht="22" customHeight="1" spans="1:8">
      <c r="A167" s="80">
        <v>166</v>
      </c>
      <c r="B167" s="80" t="s">
        <v>66</v>
      </c>
      <c r="C167" s="80" t="s">
        <v>493</v>
      </c>
      <c r="D167" s="81" t="s">
        <v>652</v>
      </c>
      <c r="E167" s="81"/>
      <c r="F167" s="82"/>
      <c r="G167" s="81" t="s">
        <v>643</v>
      </c>
      <c r="H167" s="81"/>
    </row>
    <row r="168" s="68" customFormat="1" ht="22" customHeight="1" spans="1:8">
      <c r="A168" s="80">
        <v>167</v>
      </c>
      <c r="B168" s="80" t="s">
        <v>66</v>
      </c>
      <c r="C168" s="80" t="s">
        <v>493</v>
      </c>
      <c r="D168" s="81" t="s">
        <v>653</v>
      </c>
      <c r="E168" s="81"/>
      <c r="F168" s="82"/>
      <c r="G168" s="81" t="s">
        <v>643</v>
      </c>
      <c r="H168" s="81"/>
    </row>
    <row r="169" s="68" customFormat="1" ht="22" customHeight="1" spans="1:8">
      <c r="A169" s="80">
        <v>168</v>
      </c>
      <c r="B169" s="80" t="s">
        <v>66</v>
      </c>
      <c r="C169" s="80" t="s">
        <v>493</v>
      </c>
      <c r="D169" s="81" t="s">
        <v>654</v>
      </c>
      <c r="E169" s="81"/>
      <c r="F169" s="82"/>
      <c r="G169" s="81" t="s">
        <v>643</v>
      </c>
      <c r="H169" s="81"/>
    </row>
    <row r="170" s="68" customFormat="1" ht="22" customHeight="1" spans="1:8">
      <c r="A170" s="80">
        <v>169</v>
      </c>
      <c r="B170" s="80" t="s">
        <v>66</v>
      </c>
      <c r="C170" s="80" t="s">
        <v>493</v>
      </c>
      <c r="D170" s="81" t="s">
        <v>655</v>
      </c>
      <c r="E170" s="81"/>
      <c r="F170" s="82"/>
      <c r="G170" s="81" t="s">
        <v>643</v>
      </c>
      <c r="H170" s="81"/>
    </row>
    <row r="171" s="68" customFormat="1" ht="22" customHeight="1" spans="1:8">
      <c r="A171" s="80">
        <v>170</v>
      </c>
      <c r="B171" s="80" t="s">
        <v>66</v>
      </c>
      <c r="C171" s="80" t="s">
        <v>493</v>
      </c>
      <c r="D171" s="81" t="s">
        <v>656</v>
      </c>
      <c r="E171" s="81"/>
      <c r="F171" s="82"/>
      <c r="G171" s="81" t="s">
        <v>657</v>
      </c>
      <c r="H171" s="81"/>
    </row>
    <row r="172" s="68" customFormat="1" ht="22" customHeight="1" spans="1:8">
      <c r="A172" s="80">
        <v>171</v>
      </c>
      <c r="B172" s="80" t="s">
        <v>66</v>
      </c>
      <c r="C172" s="80" t="s">
        <v>493</v>
      </c>
      <c r="D172" s="81" t="s">
        <v>658</v>
      </c>
      <c r="E172" s="81"/>
      <c r="F172" s="82"/>
      <c r="G172" s="81" t="s">
        <v>657</v>
      </c>
      <c r="H172" s="81"/>
    </row>
    <row r="173" s="68" customFormat="1" ht="22" customHeight="1" spans="1:8">
      <c r="A173" s="80">
        <v>172</v>
      </c>
      <c r="B173" s="80" t="s">
        <v>66</v>
      </c>
      <c r="C173" s="80" t="s">
        <v>493</v>
      </c>
      <c r="D173" s="81" t="s">
        <v>659</v>
      </c>
      <c r="E173" s="81"/>
      <c r="F173" s="82"/>
      <c r="G173" s="81" t="s">
        <v>657</v>
      </c>
      <c r="H173" s="81"/>
    </row>
    <row r="174" s="68" customFormat="1" ht="22" customHeight="1" spans="1:8">
      <c r="A174" s="80">
        <v>173</v>
      </c>
      <c r="B174" s="80" t="s">
        <v>66</v>
      </c>
      <c r="C174" s="80" t="s">
        <v>493</v>
      </c>
      <c r="D174" s="81" t="s">
        <v>660</v>
      </c>
      <c r="E174" s="81"/>
      <c r="F174" s="82"/>
      <c r="G174" s="81" t="s">
        <v>657</v>
      </c>
      <c r="H174" s="81"/>
    </row>
    <row r="175" s="68" customFormat="1" ht="22" customHeight="1" spans="1:8">
      <c r="A175" s="80">
        <v>174</v>
      </c>
      <c r="B175" s="80" t="s">
        <v>66</v>
      </c>
      <c r="C175" s="80" t="s">
        <v>493</v>
      </c>
      <c r="D175" s="81" t="s">
        <v>661</v>
      </c>
      <c r="E175" s="81"/>
      <c r="F175" s="82"/>
      <c r="G175" s="81" t="s">
        <v>657</v>
      </c>
      <c r="H175" s="81"/>
    </row>
    <row r="176" s="68" customFormat="1" ht="22" customHeight="1" spans="1:8">
      <c r="A176" s="80">
        <v>175</v>
      </c>
      <c r="B176" s="80" t="s">
        <v>66</v>
      </c>
      <c r="C176" s="80" t="s">
        <v>493</v>
      </c>
      <c r="D176" s="81" t="s">
        <v>662</v>
      </c>
      <c r="E176" s="81"/>
      <c r="F176" s="82"/>
      <c r="G176" s="81" t="s">
        <v>657</v>
      </c>
      <c r="H176" s="81"/>
    </row>
    <row r="177" s="68" customFormat="1" ht="22" customHeight="1" spans="1:8">
      <c r="A177" s="80">
        <v>176</v>
      </c>
      <c r="B177" s="80" t="s">
        <v>66</v>
      </c>
      <c r="C177" s="80" t="s">
        <v>493</v>
      </c>
      <c r="D177" s="81" t="s">
        <v>663</v>
      </c>
      <c r="E177" s="81"/>
      <c r="F177" s="82"/>
      <c r="G177" s="81" t="s">
        <v>657</v>
      </c>
      <c r="H177" s="81"/>
    </row>
    <row r="178" s="68" customFormat="1" ht="22" customHeight="1" spans="1:8">
      <c r="A178" s="80">
        <v>177</v>
      </c>
      <c r="B178" s="80" t="s">
        <v>66</v>
      </c>
      <c r="C178" s="80" t="s">
        <v>493</v>
      </c>
      <c r="D178" s="81" t="s">
        <v>664</v>
      </c>
      <c r="E178" s="81"/>
      <c r="F178" s="82"/>
      <c r="G178" s="81" t="s">
        <v>657</v>
      </c>
      <c r="H178" s="81"/>
    </row>
    <row r="179" s="68" customFormat="1" ht="22" customHeight="1" spans="1:8">
      <c r="A179" s="80">
        <v>178</v>
      </c>
      <c r="B179" s="80" t="s">
        <v>66</v>
      </c>
      <c r="C179" s="80" t="s">
        <v>493</v>
      </c>
      <c r="D179" s="81" t="s">
        <v>665</v>
      </c>
      <c r="E179" s="81"/>
      <c r="F179" s="82"/>
      <c r="G179" s="81" t="s">
        <v>657</v>
      </c>
      <c r="H179" s="81"/>
    </row>
    <row r="180" s="68" customFormat="1" ht="22" customHeight="1" spans="1:8">
      <c r="A180" s="80">
        <v>179</v>
      </c>
      <c r="B180" s="80" t="s">
        <v>66</v>
      </c>
      <c r="C180" s="80" t="s">
        <v>493</v>
      </c>
      <c r="D180" s="81" t="s">
        <v>666</v>
      </c>
      <c r="E180" s="81"/>
      <c r="F180" s="82"/>
      <c r="G180" s="81" t="s">
        <v>657</v>
      </c>
      <c r="H180" s="81"/>
    </row>
    <row r="181" s="68" customFormat="1" ht="22" customHeight="1" spans="1:8">
      <c r="A181" s="80">
        <v>180</v>
      </c>
      <c r="B181" s="80" t="s">
        <v>66</v>
      </c>
      <c r="C181" s="80" t="s">
        <v>493</v>
      </c>
      <c r="D181" s="81" t="s">
        <v>667</v>
      </c>
      <c r="E181" s="81"/>
      <c r="F181" s="82"/>
      <c r="G181" s="81" t="s">
        <v>657</v>
      </c>
      <c r="H181" s="81"/>
    </row>
    <row r="182" s="68" customFormat="1" ht="22" customHeight="1" spans="1:8">
      <c r="A182" s="80">
        <v>181</v>
      </c>
      <c r="B182" s="80" t="s">
        <v>66</v>
      </c>
      <c r="C182" s="80" t="s">
        <v>493</v>
      </c>
      <c r="D182" s="81" t="s">
        <v>668</v>
      </c>
      <c r="E182" s="81"/>
      <c r="F182" s="82"/>
      <c r="G182" s="81" t="s">
        <v>657</v>
      </c>
      <c r="H182" s="81"/>
    </row>
    <row r="183" s="68" customFormat="1" ht="22" customHeight="1" spans="1:8">
      <c r="A183" s="80">
        <v>182</v>
      </c>
      <c r="B183" s="80" t="s">
        <v>66</v>
      </c>
      <c r="C183" s="80" t="s">
        <v>493</v>
      </c>
      <c r="D183" s="81" t="s">
        <v>669</v>
      </c>
      <c r="E183" s="81"/>
      <c r="F183" s="82"/>
      <c r="G183" s="81" t="s">
        <v>657</v>
      </c>
      <c r="H183" s="81"/>
    </row>
    <row r="184" s="68" customFormat="1" ht="22" customHeight="1" spans="1:8">
      <c r="A184" s="80">
        <v>183</v>
      </c>
      <c r="B184" s="80" t="s">
        <v>66</v>
      </c>
      <c r="C184" s="80" t="s">
        <v>493</v>
      </c>
      <c r="D184" s="81" t="s">
        <v>670</v>
      </c>
      <c r="E184" s="81"/>
      <c r="F184" s="82"/>
      <c r="G184" s="81" t="s">
        <v>657</v>
      </c>
      <c r="H184" s="81"/>
    </row>
    <row r="185" s="68" customFormat="1" ht="22" customHeight="1" spans="1:8">
      <c r="A185" s="80">
        <v>184</v>
      </c>
      <c r="B185" s="80" t="s">
        <v>66</v>
      </c>
      <c r="C185" s="80" t="s">
        <v>493</v>
      </c>
      <c r="D185" s="81" t="s">
        <v>671</v>
      </c>
      <c r="E185" s="81"/>
      <c r="F185" s="82"/>
      <c r="G185" s="81" t="s">
        <v>657</v>
      </c>
      <c r="H185" s="81"/>
    </row>
    <row r="186" s="68" customFormat="1" ht="22" customHeight="1" spans="1:8">
      <c r="A186" s="80">
        <v>185</v>
      </c>
      <c r="B186" s="80" t="s">
        <v>66</v>
      </c>
      <c r="C186" s="80" t="s">
        <v>493</v>
      </c>
      <c r="D186" s="81" t="s">
        <v>672</v>
      </c>
      <c r="E186" s="81"/>
      <c r="F186" s="82"/>
      <c r="G186" s="81" t="s">
        <v>657</v>
      </c>
      <c r="H186" s="81"/>
    </row>
    <row r="187" s="68" customFormat="1" ht="22" customHeight="1" spans="1:8">
      <c r="A187" s="80">
        <v>186</v>
      </c>
      <c r="B187" s="80" t="s">
        <v>66</v>
      </c>
      <c r="C187" s="80" t="s">
        <v>493</v>
      </c>
      <c r="D187" s="81" t="s">
        <v>673</v>
      </c>
      <c r="E187" s="81"/>
      <c r="F187" s="82"/>
      <c r="G187" s="81" t="s">
        <v>657</v>
      </c>
      <c r="H187" s="81"/>
    </row>
    <row r="188" s="68" customFormat="1" ht="22" customHeight="1" spans="1:8">
      <c r="A188" s="80">
        <v>187</v>
      </c>
      <c r="B188" s="80" t="s">
        <v>66</v>
      </c>
      <c r="C188" s="80" t="s">
        <v>493</v>
      </c>
      <c r="D188" s="81" t="s">
        <v>674</v>
      </c>
      <c r="E188" s="81"/>
      <c r="F188" s="82"/>
      <c r="G188" s="81" t="s">
        <v>657</v>
      </c>
      <c r="H188" s="81"/>
    </row>
    <row r="189" s="68" customFormat="1" ht="22" customHeight="1" spans="1:8">
      <c r="A189" s="80">
        <v>188</v>
      </c>
      <c r="B189" s="80" t="s">
        <v>66</v>
      </c>
      <c r="C189" s="80" t="s">
        <v>493</v>
      </c>
      <c r="D189" s="81" t="s">
        <v>675</v>
      </c>
      <c r="E189" s="81"/>
      <c r="F189" s="82"/>
      <c r="G189" s="81" t="s">
        <v>657</v>
      </c>
      <c r="H189" s="81"/>
    </row>
    <row r="190" s="68" customFormat="1" ht="22" customHeight="1" spans="1:8">
      <c r="A190" s="80">
        <v>189</v>
      </c>
      <c r="B190" s="80" t="s">
        <v>66</v>
      </c>
      <c r="C190" s="80" t="s">
        <v>493</v>
      </c>
      <c r="D190" s="81" t="s">
        <v>676</v>
      </c>
      <c r="E190" s="81"/>
      <c r="F190" s="82"/>
      <c r="G190" s="81" t="s">
        <v>657</v>
      </c>
      <c r="H190" s="81"/>
    </row>
    <row r="191" s="68" customFormat="1" ht="22" customHeight="1" spans="1:8">
      <c r="A191" s="80">
        <v>190</v>
      </c>
      <c r="B191" s="80" t="s">
        <v>66</v>
      </c>
      <c r="C191" s="80" t="s">
        <v>493</v>
      </c>
      <c r="D191" s="81" t="s">
        <v>677</v>
      </c>
      <c r="E191" s="81"/>
      <c r="F191" s="82"/>
      <c r="G191" s="81" t="s">
        <v>657</v>
      </c>
      <c r="H191" s="81"/>
    </row>
    <row r="192" s="68" customFormat="1" ht="22" customHeight="1" spans="1:8">
      <c r="A192" s="80">
        <v>191</v>
      </c>
      <c r="B192" s="80" t="s">
        <v>66</v>
      </c>
      <c r="C192" s="80" t="s">
        <v>493</v>
      </c>
      <c r="D192" s="81" t="s">
        <v>678</v>
      </c>
      <c r="E192" s="81"/>
      <c r="F192" s="82"/>
      <c r="G192" s="81" t="s">
        <v>657</v>
      </c>
      <c r="H192" s="81"/>
    </row>
    <row r="193" s="68" customFormat="1" ht="22" customHeight="1" spans="1:8">
      <c r="A193" s="80">
        <v>192</v>
      </c>
      <c r="B193" s="80" t="s">
        <v>66</v>
      </c>
      <c r="C193" s="80" t="s">
        <v>493</v>
      </c>
      <c r="D193" s="81" t="s">
        <v>679</v>
      </c>
      <c r="E193" s="81"/>
      <c r="F193" s="82"/>
      <c r="G193" s="81" t="s">
        <v>657</v>
      </c>
      <c r="H193" s="81"/>
    </row>
    <row r="194" s="67" customFormat="1" ht="67.5" spans="1:8">
      <c r="A194" s="83">
        <v>85</v>
      </c>
      <c r="B194" s="83" t="s">
        <v>680</v>
      </c>
      <c r="C194" s="83" t="s">
        <v>493</v>
      </c>
      <c r="D194" s="84" t="s">
        <v>681</v>
      </c>
      <c r="E194" s="84"/>
      <c r="F194" s="84"/>
      <c r="G194" s="84" t="s">
        <v>682</v>
      </c>
      <c r="H194" s="84"/>
    </row>
    <row r="195" s="67" customFormat="1" ht="67.5" spans="1:8">
      <c r="A195" s="83">
        <v>86</v>
      </c>
      <c r="B195" s="83" t="s">
        <v>680</v>
      </c>
      <c r="C195" s="83" t="s">
        <v>493</v>
      </c>
      <c r="D195" s="84" t="s">
        <v>683</v>
      </c>
      <c r="E195" s="84"/>
      <c r="F195" s="84"/>
      <c r="G195" s="84" t="s">
        <v>682</v>
      </c>
      <c r="H195" s="84"/>
    </row>
    <row r="196" s="67" customFormat="1" ht="67.5" spans="1:8">
      <c r="A196" s="83">
        <v>87</v>
      </c>
      <c r="B196" s="83" t="s">
        <v>680</v>
      </c>
      <c r="C196" s="83" t="s">
        <v>493</v>
      </c>
      <c r="D196" s="84" t="s">
        <v>684</v>
      </c>
      <c r="E196" s="84"/>
      <c r="F196" s="84"/>
      <c r="G196" s="84" t="s">
        <v>682</v>
      </c>
      <c r="H196" s="84"/>
    </row>
    <row r="197" s="67" customFormat="1" ht="67.5" spans="1:8">
      <c r="A197" s="83">
        <v>89</v>
      </c>
      <c r="B197" s="83" t="s">
        <v>680</v>
      </c>
      <c r="C197" s="83" t="s">
        <v>493</v>
      </c>
      <c r="D197" s="84" t="s">
        <v>685</v>
      </c>
      <c r="E197" s="84"/>
      <c r="F197" s="84"/>
      <c r="G197" s="84" t="s">
        <v>682</v>
      </c>
      <c r="H197" s="84"/>
    </row>
    <row r="198" s="67" customFormat="1" ht="67.5" spans="1:8">
      <c r="A198" s="83">
        <v>90</v>
      </c>
      <c r="B198" s="83" t="s">
        <v>680</v>
      </c>
      <c r="C198" s="83" t="s">
        <v>493</v>
      </c>
      <c r="D198" s="84" t="s">
        <v>686</v>
      </c>
      <c r="E198" s="84"/>
      <c r="F198" s="84"/>
      <c r="G198" s="84" t="s">
        <v>682</v>
      </c>
      <c r="H198" s="84"/>
    </row>
    <row r="199" s="67" customFormat="1" ht="67.5" spans="1:8">
      <c r="A199" s="83">
        <v>91</v>
      </c>
      <c r="B199" s="83" t="s">
        <v>680</v>
      </c>
      <c r="C199" s="83" t="s">
        <v>493</v>
      </c>
      <c r="D199" s="84" t="s">
        <v>687</v>
      </c>
      <c r="E199" s="84"/>
      <c r="F199" s="84"/>
      <c r="G199" s="84" t="s">
        <v>682</v>
      </c>
      <c r="H199" s="84"/>
    </row>
    <row r="200" s="67" customFormat="1" ht="67.5" spans="1:8">
      <c r="A200" s="83">
        <v>93</v>
      </c>
      <c r="B200" s="83" t="s">
        <v>680</v>
      </c>
      <c r="C200" s="83" t="s">
        <v>493</v>
      </c>
      <c r="D200" s="84" t="s">
        <v>688</v>
      </c>
      <c r="E200" s="84"/>
      <c r="F200" s="84"/>
      <c r="G200" s="84" t="s">
        <v>682</v>
      </c>
      <c r="H200" s="84"/>
    </row>
    <row r="201" s="67" customFormat="1" ht="67.5" spans="1:8">
      <c r="A201" s="83">
        <v>94</v>
      </c>
      <c r="B201" s="83" t="s">
        <v>680</v>
      </c>
      <c r="C201" s="83" t="s">
        <v>493</v>
      </c>
      <c r="D201" s="84" t="s">
        <v>689</v>
      </c>
      <c r="E201" s="84"/>
      <c r="F201" s="84"/>
      <c r="G201" s="84" t="s">
        <v>682</v>
      </c>
      <c r="H201" s="84"/>
    </row>
    <row r="202" s="67" customFormat="1" ht="67.5" spans="1:8">
      <c r="A202" s="83">
        <v>95</v>
      </c>
      <c r="B202" s="83" t="s">
        <v>680</v>
      </c>
      <c r="C202" s="83" t="s">
        <v>493</v>
      </c>
      <c r="D202" s="84" t="s">
        <v>690</v>
      </c>
      <c r="E202" s="84"/>
      <c r="F202" s="84"/>
      <c r="G202" s="84" t="s">
        <v>682</v>
      </c>
      <c r="H202" s="84"/>
    </row>
    <row r="203" s="67" customFormat="1" ht="40.5" spans="1:8">
      <c r="A203" s="85">
        <v>103</v>
      </c>
      <c r="B203" s="85" t="s">
        <v>691</v>
      </c>
      <c r="C203" s="85"/>
      <c r="D203" s="86" t="s">
        <v>692</v>
      </c>
      <c r="E203" s="86"/>
      <c r="F203" s="86"/>
      <c r="G203" s="86" t="s">
        <v>693</v>
      </c>
      <c r="H203" s="86"/>
    </row>
    <row r="204" s="67" customFormat="1" ht="27" spans="1:8">
      <c r="A204" s="85">
        <v>104</v>
      </c>
      <c r="B204" s="85" t="s">
        <v>691</v>
      </c>
      <c r="C204" s="85"/>
      <c r="D204" s="86" t="s">
        <v>694</v>
      </c>
      <c r="E204" s="86"/>
      <c r="F204" s="86"/>
      <c r="G204" s="86" t="s">
        <v>693</v>
      </c>
      <c r="H204" s="86"/>
    </row>
    <row r="205" s="67" customFormat="1" ht="40.5" spans="1:8">
      <c r="A205" s="85">
        <v>105</v>
      </c>
      <c r="B205" s="85" t="s">
        <v>691</v>
      </c>
      <c r="C205" s="85"/>
      <c r="D205" s="86" t="s">
        <v>695</v>
      </c>
      <c r="E205" s="86"/>
      <c r="F205" s="86"/>
      <c r="G205" s="86" t="s">
        <v>693</v>
      </c>
      <c r="H205" s="86"/>
    </row>
    <row r="206" s="67" customFormat="1" ht="40.5" spans="1:8">
      <c r="A206" s="85"/>
      <c r="B206" s="85" t="s">
        <v>691</v>
      </c>
      <c r="C206" s="85"/>
      <c r="D206" s="86" t="s">
        <v>696</v>
      </c>
      <c r="E206" s="86"/>
      <c r="F206" s="86"/>
      <c r="G206" s="86" t="s">
        <v>693</v>
      </c>
      <c r="H206" s="86"/>
    </row>
    <row r="207" s="67" customFormat="1" ht="40.5" spans="1:8">
      <c r="A207" s="85"/>
      <c r="B207" s="85" t="s">
        <v>691</v>
      </c>
      <c r="C207" s="85"/>
      <c r="D207" s="86" t="s">
        <v>697</v>
      </c>
      <c r="E207" s="86"/>
      <c r="F207" s="86"/>
      <c r="G207" s="86" t="s">
        <v>693</v>
      </c>
      <c r="H207" s="86"/>
    </row>
    <row r="208" s="67" customFormat="1" ht="27" spans="1:8">
      <c r="A208" s="85"/>
      <c r="B208" s="85" t="s">
        <v>691</v>
      </c>
      <c r="C208" s="85"/>
      <c r="D208" s="86" t="s">
        <v>698</v>
      </c>
      <c r="E208" s="86"/>
      <c r="F208" s="86"/>
      <c r="G208" s="86" t="s">
        <v>693</v>
      </c>
      <c r="H208" s="86"/>
    </row>
    <row r="209" s="67" customFormat="1" ht="27" spans="1:8">
      <c r="A209" s="85"/>
      <c r="B209" s="85" t="s">
        <v>691</v>
      </c>
      <c r="C209" s="85"/>
      <c r="D209" s="86" t="s">
        <v>699</v>
      </c>
      <c r="E209" s="86"/>
      <c r="F209" s="86"/>
      <c r="G209" s="86" t="s">
        <v>693</v>
      </c>
      <c r="H209" s="86"/>
    </row>
    <row r="210" s="67" customFormat="1" ht="27" spans="1:8">
      <c r="A210" s="85"/>
      <c r="B210" s="85" t="s">
        <v>691</v>
      </c>
      <c r="C210" s="85"/>
      <c r="D210" s="86" t="s">
        <v>700</v>
      </c>
      <c r="E210" s="86"/>
      <c r="F210" s="86"/>
      <c r="G210" s="86" t="s">
        <v>693</v>
      </c>
      <c r="H210" s="86"/>
    </row>
    <row r="211" s="67" customFormat="1" ht="27" spans="1:8">
      <c r="A211" s="85"/>
      <c r="B211" s="85" t="s">
        <v>691</v>
      </c>
      <c r="C211" s="85"/>
      <c r="D211" s="86" t="s">
        <v>701</v>
      </c>
      <c r="E211" s="86"/>
      <c r="F211" s="86"/>
      <c r="G211" s="86" t="s">
        <v>693</v>
      </c>
      <c r="H211" s="86"/>
    </row>
    <row r="212" s="67" customFormat="1" ht="27" spans="1:8">
      <c r="A212" s="85"/>
      <c r="B212" s="85" t="s">
        <v>691</v>
      </c>
      <c r="C212" s="85"/>
      <c r="D212" s="86" t="s">
        <v>702</v>
      </c>
      <c r="E212" s="86"/>
      <c r="F212" s="86"/>
      <c r="G212" s="86" t="s">
        <v>693</v>
      </c>
      <c r="H212" s="86"/>
    </row>
    <row r="213" s="67" customFormat="1" ht="40.5" spans="1:8">
      <c r="A213" s="85"/>
      <c r="B213" s="85" t="s">
        <v>691</v>
      </c>
      <c r="C213" s="85"/>
      <c r="D213" s="86" t="s">
        <v>703</v>
      </c>
      <c r="E213" s="86"/>
      <c r="F213" s="86"/>
      <c r="G213" s="86" t="s">
        <v>693</v>
      </c>
      <c r="H213" s="86"/>
    </row>
    <row r="214" s="67" customFormat="1" ht="22" customHeight="1" spans="1:8">
      <c r="A214" s="87">
        <v>111</v>
      </c>
      <c r="B214" s="87" t="s">
        <v>704</v>
      </c>
      <c r="C214" s="87"/>
      <c r="D214" s="88" t="s">
        <v>390</v>
      </c>
      <c r="E214" s="88" t="s">
        <v>181</v>
      </c>
      <c r="F214" s="89">
        <v>46112</v>
      </c>
      <c r="G214" s="88" t="s">
        <v>705</v>
      </c>
      <c r="H214" s="88"/>
    </row>
    <row r="215" s="67" customFormat="1" ht="22" customHeight="1" spans="1:8">
      <c r="A215" s="87">
        <v>112</v>
      </c>
      <c r="B215" s="87" t="s">
        <v>704</v>
      </c>
      <c r="C215" s="87"/>
      <c r="D215" s="88" t="s">
        <v>706</v>
      </c>
      <c r="E215" s="88" t="s">
        <v>181</v>
      </c>
      <c r="F215" s="89">
        <v>46142</v>
      </c>
      <c r="G215" s="88" t="s">
        <v>705</v>
      </c>
      <c r="H215" s="88"/>
    </row>
    <row r="216" s="67" customFormat="1" ht="22" customHeight="1" spans="1:8">
      <c r="A216" s="87">
        <v>113</v>
      </c>
      <c r="B216" s="87" t="s">
        <v>704</v>
      </c>
      <c r="C216" s="87"/>
      <c r="D216" s="88" t="s">
        <v>707</v>
      </c>
      <c r="E216" s="88" t="s">
        <v>181</v>
      </c>
      <c r="F216" s="89">
        <v>46142</v>
      </c>
      <c r="G216" s="88" t="s">
        <v>705</v>
      </c>
      <c r="H216" s="88"/>
    </row>
    <row r="217" s="67" customFormat="1" ht="22" customHeight="1" spans="1:8">
      <c r="A217" s="87">
        <v>114</v>
      </c>
      <c r="B217" s="87" t="s">
        <v>704</v>
      </c>
      <c r="C217" s="87"/>
      <c r="D217" s="88" t="s">
        <v>708</v>
      </c>
      <c r="E217" s="88" t="s">
        <v>181</v>
      </c>
      <c r="F217" s="89">
        <v>46173</v>
      </c>
      <c r="G217" s="88" t="s">
        <v>705</v>
      </c>
      <c r="H217" s="88"/>
    </row>
    <row r="218" s="67" customFormat="1" ht="22" customHeight="1" spans="1:8">
      <c r="A218" s="87">
        <v>115</v>
      </c>
      <c r="B218" s="87" t="s">
        <v>704</v>
      </c>
      <c r="C218" s="87"/>
      <c r="D218" s="88" t="s">
        <v>709</v>
      </c>
      <c r="E218" s="88" t="s">
        <v>710</v>
      </c>
      <c r="F218" s="89">
        <v>46265</v>
      </c>
      <c r="G218" s="88" t="s">
        <v>705</v>
      </c>
      <c r="H218" s="88"/>
    </row>
    <row r="219" s="67" customFormat="1" ht="22" customHeight="1" spans="1:8">
      <c r="A219" s="87">
        <v>116</v>
      </c>
      <c r="B219" s="87" t="s">
        <v>704</v>
      </c>
      <c r="C219" s="87"/>
      <c r="D219" s="88" t="s">
        <v>711</v>
      </c>
      <c r="E219" s="88" t="s">
        <v>712</v>
      </c>
      <c r="F219" s="89">
        <v>46295</v>
      </c>
      <c r="G219" s="88" t="s">
        <v>705</v>
      </c>
      <c r="H219" s="88"/>
    </row>
    <row r="220" s="67" customFormat="1" ht="22" customHeight="1" spans="1:8">
      <c r="A220" s="87">
        <v>117</v>
      </c>
      <c r="B220" s="87" t="s">
        <v>704</v>
      </c>
      <c r="C220" s="87"/>
      <c r="D220" s="88" t="s">
        <v>713</v>
      </c>
      <c r="E220" s="90" t="s">
        <v>38</v>
      </c>
      <c r="F220" s="89">
        <v>46387</v>
      </c>
      <c r="G220" s="88" t="s">
        <v>705</v>
      </c>
      <c r="H220" s="88"/>
    </row>
    <row r="221" s="67" customFormat="1" ht="22" customHeight="1" spans="1:8">
      <c r="A221" s="87">
        <v>118</v>
      </c>
      <c r="B221" s="87" t="s">
        <v>704</v>
      </c>
      <c r="C221" s="87"/>
      <c r="D221" s="88" t="s">
        <v>714</v>
      </c>
      <c r="E221" s="88" t="s">
        <v>181</v>
      </c>
      <c r="F221" s="89">
        <v>46387</v>
      </c>
      <c r="G221" s="88" t="s">
        <v>705</v>
      </c>
      <c r="H221" s="88"/>
    </row>
    <row r="222" s="67" customFormat="1" ht="22" customHeight="1" spans="1:8">
      <c r="A222" s="87">
        <v>119</v>
      </c>
      <c r="B222" s="87" t="s">
        <v>704</v>
      </c>
      <c r="C222" s="87"/>
      <c r="D222" s="88" t="s">
        <v>198</v>
      </c>
      <c r="E222" s="88" t="s">
        <v>181</v>
      </c>
      <c r="F222" s="89">
        <v>46387</v>
      </c>
      <c r="G222" s="88" t="s">
        <v>715</v>
      </c>
      <c r="H222" s="88"/>
    </row>
    <row r="223" s="67" customFormat="1" ht="22" customHeight="1" spans="1:8">
      <c r="A223" s="87">
        <v>120</v>
      </c>
      <c r="B223" s="87" t="s">
        <v>704</v>
      </c>
      <c r="C223" s="87"/>
      <c r="D223" s="88" t="s">
        <v>716</v>
      </c>
      <c r="E223" s="88" t="s">
        <v>717</v>
      </c>
      <c r="F223" s="89">
        <v>46173</v>
      </c>
      <c r="G223" s="88" t="s">
        <v>715</v>
      </c>
      <c r="H223" s="88"/>
    </row>
    <row r="224" s="67" customFormat="1" ht="22" customHeight="1" spans="1:8">
      <c r="A224" s="87">
        <v>121</v>
      </c>
      <c r="B224" s="87" t="s">
        <v>704</v>
      </c>
      <c r="C224" s="87"/>
      <c r="D224" s="88" t="s">
        <v>718</v>
      </c>
      <c r="E224" s="88" t="s">
        <v>719</v>
      </c>
      <c r="F224" s="89">
        <v>46234</v>
      </c>
      <c r="G224" s="88" t="s">
        <v>715</v>
      </c>
      <c r="H224" s="88"/>
    </row>
    <row r="225" s="67" customFormat="1" ht="22" customHeight="1" spans="1:8">
      <c r="A225" s="87">
        <v>122</v>
      </c>
      <c r="B225" s="87" t="s">
        <v>704</v>
      </c>
      <c r="C225" s="87"/>
      <c r="D225" s="88" t="s">
        <v>720</v>
      </c>
      <c r="E225" s="88" t="s">
        <v>721</v>
      </c>
      <c r="F225" s="89">
        <v>46356</v>
      </c>
      <c r="G225" s="88" t="s">
        <v>715</v>
      </c>
      <c r="H225" s="88"/>
    </row>
    <row r="226" s="67" customFormat="1" ht="22" customHeight="1" spans="1:8">
      <c r="A226" s="87">
        <v>123</v>
      </c>
      <c r="B226" s="87" t="s">
        <v>704</v>
      </c>
      <c r="C226" s="87"/>
      <c r="D226" s="88" t="s">
        <v>722</v>
      </c>
      <c r="E226" s="88" t="s">
        <v>723</v>
      </c>
      <c r="F226" s="89">
        <v>46142</v>
      </c>
      <c r="G226" s="88" t="s">
        <v>715</v>
      </c>
      <c r="H226" s="88"/>
    </row>
    <row r="227" s="67" customFormat="1" ht="22" customHeight="1" spans="1:8">
      <c r="A227" s="87">
        <v>124</v>
      </c>
      <c r="B227" s="87" t="s">
        <v>704</v>
      </c>
      <c r="C227" s="87"/>
      <c r="D227" s="88" t="s">
        <v>403</v>
      </c>
      <c r="E227" s="88" t="s">
        <v>723</v>
      </c>
      <c r="F227" s="89">
        <v>46203</v>
      </c>
      <c r="G227" s="88" t="s">
        <v>715</v>
      </c>
      <c r="H227" s="88"/>
    </row>
    <row r="228" s="67" customFormat="1" ht="22" customHeight="1" spans="1:8">
      <c r="A228" s="87">
        <v>125</v>
      </c>
      <c r="B228" s="87" t="s">
        <v>704</v>
      </c>
      <c r="C228" s="87"/>
      <c r="D228" s="88" t="s">
        <v>724</v>
      </c>
      <c r="E228" s="88" t="s">
        <v>721</v>
      </c>
      <c r="F228" s="89">
        <v>46234</v>
      </c>
      <c r="G228" s="88" t="s">
        <v>715</v>
      </c>
      <c r="H228" s="88"/>
    </row>
    <row r="229" s="67" customFormat="1" ht="22" customHeight="1" spans="1:8">
      <c r="A229" s="87">
        <v>126</v>
      </c>
      <c r="B229" s="87" t="s">
        <v>704</v>
      </c>
      <c r="C229" s="87"/>
      <c r="D229" s="88" t="s">
        <v>405</v>
      </c>
      <c r="E229" s="88" t="s">
        <v>723</v>
      </c>
      <c r="F229" s="89">
        <v>46356</v>
      </c>
      <c r="G229" s="88" t="s">
        <v>715</v>
      </c>
      <c r="H229" s="88"/>
    </row>
    <row r="230" s="67" customFormat="1" ht="22" customHeight="1" spans="1:8">
      <c r="A230" s="91">
        <v>127</v>
      </c>
      <c r="B230" s="91" t="s">
        <v>199</v>
      </c>
      <c r="C230" s="91"/>
      <c r="D230" s="92" t="s">
        <v>725</v>
      </c>
      <c r="E230" s="92"/>
      <c r="F230" s="92"/>
      <c r="G230" s="92" t="s">
        <v>202</v>
      </c>
      <c r="H230" s="92"/>
    </row>
    <row r="231" s="67" customFormat="1" ht="22" customHeight="1" spans="1:8">
      <c r="A231" s="91">
        <v>128</v>
      </c>
      <c r="B231" s="91" t="s">
        <v>199</v>
      </c>
      <c r="C231" s="91"/>
      <c r="D231" s="92" t="s">
        <v>726</v>
      </c>
      <c r="E231" s="92"/>
      <c r="F231" s="92"/>
      <c r="G231" s="92" t="s">
        <v>202</v>
      </c>
      <c r="H231" s="92"/>
    </row>
    <row r="232" s="67" customFormat="1" ht="22" customHeight="1" spans="1:8">
      <c r="A232" s="91">
        <v>129</v>
      </c>
      <c r="B232" s="91" t="s">
        <v>199</v>
      </c>
      <c r="C232" s="91"/>
      <c r="D232" s="92" t="s">
        <v>727</v>
      </c>
      <c r="E232" s="92"/>
      <c r="F232" s="92"/>
      <c r="G232" s="92" t="s">
        <v>202</v>
      </c>
      <c r="H232" s="92"/>
    </row>
    <row r="233" s="67" customFormat="1" ht="22" customHeight="1" spans="1:8">
      <c r="A233" s="91">
        <v>130</v>
      </c>
      <c r="B233" s="91" t="s">
        <v>199</v>
      </c>
      <c r="C233" s="91"/>
      <c r="D233" s="92" t="s">
        <v>728</v>
      </c>
      <c r="E233" s="92"/>
      <c r="F233" s="92"/>
      <c r="G233" s="92" t="s">
        <v>202</v>
      </c>
      <c r="H233" s="92"/>
    </row>
    <row r="234" s="67" customFormat="1" ht="22" customHeight="1" spans="1:8">
      <c r="A234" s="91"/>
      <c r="B234" s="91" t="s">
        <v>199</v>
      </c>
      <c r="C234" s="91"/>
      <c r="D234" s="92" t="s">
        <v>729</v>
      </c>
      <c r="E234" s="92"/>
      <c r="F234" s="92"/>
      <c r="G234" s="92" t="s">
        <v>202</v>
      </c>
      <c r="H234" s="92"/>
    </row>
    <row r="235" s="67" customFormat="1" ht="22" customHeight="1" spans="1:8">
      <c r="A235" s="91"/>
      <c r="B235" s="91" t="s">
        <v>199</v>
      </c>
      <c r="C235" s="91"/>
      <c r="D235" s="92" t="s">
        <v>730</v>
      </c>
      <c r="E235" s="92"/>
      <c r="F235" s="92"/>
      <c r="G235" s="92" t="s">
        <v>202</v>
      </c>
      <c r="H235" s="92"/>
    </row>
    <row r="236" s="67" customFormat="1" ht="22" customHeight="1" spans="1:8">
      <c r="A236" s="91"/>
      <c r="B236" s="91" t="s">
        <v>199</v>
      </c>
      <c r="C236" s="91"/>
      <c r="D236" s="92" t="s">
        <v>731</v>
      </c>
      <c r="E236" s="92"/>
      <c r="F236" s="92"/>
      <c r="G236" s="92" t="s">
        <v>202</v>
      </c>
      <c r="H236" s="92"/>
    </row>
    <row r="237" s="67" customFormat="1" ht="22" customHeight="1" spans="1:8">
      <c r="A237" s="91"/>
      <c r="B237" s="91" t="s">
        <v>199</v>
      </c>
      <c r="C237" s="91"/>
      <c r="D237" s="92" t="s">
        <v>732</v>
      </c>
      <c r="E237" s="92"/>
      <c r="F237" s="92"/>
      <c r="G237" s="92" t="s">
        <v>202</v>
      </c>
      <c r="H237" s="92"/>
    </row>
    <row r="238" s="67" customFormat="1" ht="22" customHeight="1" spans="1:8">
      <c r="A238" s="91"/>
      <c r="B238" s="91" t="s">
        <v>199</v>
      </c>
      <c r="C238" s="91"/>
      <c r="D238" s="92" t="s">
        <v>733</v>
      </c>
      <c r="E238" s="92"/>
      <c r="F238" s="92"/>
      <c r="G238" s="92" t="s">
        <v>202</v>
      </c>
      <c r="H238" s="92"/>
    </row>
    <row r="239" s="67" customFormat="1" ht="22" customHeight="1" spans="1:8">
      <c r="A239" s="91"/>
      <c r="B239" s="91" t="s">
        <v>199</v>
      </c>
      <c r="C239" s="91"/>
      <c r="D239" s="92" t="s">
        <v>734</v>
      </c>
      <c r="E239" s="92"/>
      <c r="F239" s="92"/>
      <c r="G239" s="92" t="s">
        <v>202</v>
      </c>
      <c r="H239" s="92"/>
    </row>
    <row r="240" s="67" customFormat="1" ht="22" customHeight="1" spans="1:8">
      <c r="A240" s="91"/>
      <c r="B240" s="91" t="s">
        <v>199</v>
      </c>
      <c r="C240" s="91"/>
      <c r="D240" s="92" t="s">
        <v>735</v>
      </c>
      <c r="E240" s="92"/>
      <c r="F240" s="92"/>
      <c r="G240" s="92" t="s">
        <v>202</v>
      </c>
      <c r="H240" s="92"/>
    </row>
    <row r="241" s="67" customFormat="1" ht="22" customHeight="1" spans="1:8">
      <c r="A241" s="91"/>
      <c r="B241" s="91" t="s">
        <v>199</v>
      </c>
      <c r="C241" s="91"/>
      <c r="D241" s="92" t="s">
        <v>736</v>
      </c>
      <c r="E241" s="92"/>
      <c r="F241" s="92"/>
      <c r="G241" s="92" t="s">
        <v>202</v>
      </c>
      <c r="H241" s="92"/>
    </row>
    <row r="242" s="67" customFormat="1" ht="22" customHeight="1" spans="1:8">
      <c r="A242" s="91"/>
      <c r="B242" s="91" t="s">
        <v>199</v>
      </c>
      <c r="C242" s="91"/>
      <c r="D242" s="92" t="s">
        <v>737</v>
      </c>
      <c r="E242" s="92"/>
      <c r="F242" s="92"/>
      <c r="G242" s="92" t="s">
        <v>202</v>
      </c>
      <c r="H242" s="92"/>
    </row>
    <row r="243" s="67" customFormat="1" ht="22" customHeight="1" spans="1:8">
      <c r="A243" s="91"/>
      <c r="B243" s="91" t="s">
        <v>199</v>
      </c>
      <c r="C243" s="91"/>
      <c r="D243" s="92" t="s">
        <v>738</v>
      </c>
      <c r="E243" s="92"/>
      <c r="F243" s="92"/>
      <c r="G243" s="92" t="s">
        <v>202</v>
      </c>
      <c r="H243" s="92"/>
    </row>
    <row r="244" s="67" customFormat="1" ht="22" customHeight="1" spans="1:8">
      <c r="A244" s="91"/>
      <c r="B244" s="91" t="s">
        <v>199</v>
      </c>
      <c r="C244" s="91"/>
      <c r="D244" s="92" t="s">
        <v>739</v>
      </c>
      <c r="E244" s="92"/>
      <c r="F244" s="92"/>
      <c r="G244" s="92" t="s">
        <v>202</v>
      </c>
      <c r="H244" s="92"/>
    </row>
    <row r="245" s="67" customFormat="1" ht="22" customHeight="1" spans="1:8">
      <c r="A245" s="91"/>
      <c r="B245" s="91" t="s">
        <v>199</v>
      </c>
      <c r="C245" s="91"/>
      <c r="D245" s="92" t="s">
        <v>740</v>
      </c>
      <c r="E245" s="92"/>
      <c r="F245" s="92"/>
      <c r="G245" s="92" t="s">
        <v>202</v>
      </c>
      <c r="H245" s="92"/>
    </row>
    <row r="246" s="67" customFormat="1" ht="22" customHeight="1" spans="1:8">
      <c r="A246" s="91"/>
      <c r="B246" s="91" t="s">
        <v>199</v>
      </c>
      <c r="C246" s="91"/>
      <c r="D246" s="92" t="s">
        <v>741</v>
      </c>
      <c r="E246" s="92"/>
      <c r="F246" s="92"/>
      <c r="G246" s="92" t="s">
        <v>205</v>
      </c>
      <c r="H246" s="92"/>
    </row>
    <row r="247" s="67" customFormat="1" ht="22" customHeight="1" spans="1:8">
      <c r="A247" s="91"/>
      <c r="B247" s="91" t="s">
        <v>199</v>
      </c>
      <c r="C247" s="91"/>
      <c r="D247" s="92" t="s">
        <v>726</v>
      </c>
      <c r="E247" s="92"/>
      <c r="F247" s="92"/>
      <c r="G247" s="92" t="s">
        <v>205</v>
      </c>
      <c r="H247" s="92"/>
    </row>
    <row r="248" s="67" customFormat="1" ht="22" customHeight="1" spans="1:8">
      <c r="A248" s="91"/>
      <c r="B248" s="91" t="s">
        <v>199</v>
      </c>
      <c r="C248" s="91"/>
      <c r="D248" s="92" t="s">
        <v>742</v>
      </c>
      <c r="E248" s="92"/>
      <c r="F248" s="92"/>
      <c r="G248" s="92" t="s">
        <v>205</v>
      </c>
      <c r="H248" s="92"/>
    </row>
    <row r="249" s="67" customFormat="1" ht="22" customHeight="1" spans="1:8">
      <c r="A249" s="91"/>
      <c r="B249" s="91" t="s">
        <v>199</v>
      </c>
      <c r="C249" s="91"/>
      <c r="D249" s="92" t="s">
        <v>743</v>
      </c>
      <c r="E249" s="92"/>
      <c r="F249" s="92"/>
      <c r="G249" s="92" t="s">
        <v>205</v>
      </c>
      <c r="H249" s="92"/>
    </row>
    <row r="250" s="67" customFormat="1" ht="22" customHeight="1" spans="1:8">
      <c r="A250" s="91"/>
      <c r="B250" s="91" t="s">
        <v>199</v>
      </c>
      <c r="C250" s="91"/>
      <c r="D250" s="92" t="s">
        <v>744</v>
      </c>
      <c r="E250" s="92"/>
      <c r="F250" s="92"/>
      <c r="G250" s="92" t="s">
        <v>205</v>
      </c>
      <c r="H250" s="92"/>
    </row>
    <row r="251" s="67" customFormat="1" ht="22" customHeight="1" spans="1:8">
      <c r="A251" s="91"/>
      <c r="B251" s="91" t="s">
        <v>199</v>
      </c>
      <c r="C251" s="91"/>
      <c r="D251" s="92" t="s">
        <v>745</v>
      </c>
      <c r="E251" s="92"/>
      <c r="F251" s="92"/>
      <c r="G251" s="92" t="s">
        <v>205</v>
      </c>
      <c r="H251" s="92"/>
    </row>
    <row r="252" s="67" customFormat="1" ht="22" customHeight="1" spans="1:8">
      <c r="A252" s="91"/>
      <c r="B252" s="91" t="s">
        <v>199</v>
      </c>
      <c r="C252" s="91"/>
      <c r="D252" s="92" t="s">
        <v>746</v>
      </c>
      <c r="E252" s="92"/>
      <c r="F252" s="92"/>
      <c r="G252" s="92" t="s">
        <v>205</v>
      </c>
      <c r="H252" s="92"/>
    </row>
    <row r="253" s="67" customFormat="1" ht="22" customHeight="1" spans="1:8">
      <c r="A253" s="91"/>
      <c r="B253" s="91" t="s">
        <v>199</v>
      </c>
      <c r="C253" s="91"/>
      <c r="D253" s="92" t="s">
        <v>732</v>
      </c>
      <c r="E253" s="92"/>
      <c r="F253" s="92"/>
      <c r="G253" s="92" t="s">
        <v>205</v>
      </c>
      <c r="H253" s="92"/>
    </row>
    <row r="254" s="67" customFormat="1" ht="22" customHeight="1" spans="1:8">
      <c r="A254" s="91"/>
      <c r="B254" s="91" t="s">
        <v>199</v>
      </c>
      <c r="C254" s="91"/>
      <c r="D254" s="92" t="s">
        <v>747</v>
      </c>
      <c r="E254" s="92"/>
      <c r="F254" s="92"/>
      <c r="G254" s="92" t="s">
        <v>205</v>
      </c>
      <c r="H254" s="92"/>
    </row>
    <row r="255" s="67" customFormat="1" ht="22" customHeight="1" spans="1:8">
      <c r="A255" s="91"/>
      <c r="B255" s="91" t="s">
        <v>199</v>
      </c>
      <c r="C255" s="91"/>
      <c r="D255" s="92" t="s">
        <v>748</v>
      </c>
      <c r="E255" s="92"/>
      <c r="F255" s="92"/>
      <c r="G255" s="92" t="s">
        <v>205</v>
      </c>
      <c r="H255" s="92"/>
    </row>
    <row r="256" s="67" customFormat="1" ht="22" customHeight="1" spans="1:8">
      <c r="A256" s="91"/>
      <c r="B256" s="91" t="s">
        <v>199</v>
      </c>
      <c r="C256" s="91"/>
      <c r="D256" s="92" t="s">
        <v>749</v>
      </c>
      <c r="E256" s="92"/>
      <c r="F256" s="92"/>
      <c r="G256" s="92" t="s">
        <v>205</v>
      </c>
      <c r="H256" s="92"/>
    </row>
    <row r="257" s="67" customFormat="1" ht="22" customHeight="1" spans="1:8">
      <c r="A257" s="91"/>
      <c r="B257" s="91" t="s">
        <v>199</v>
      </c>
      <c r="C257" s="91"/>
      <c r="D257" s="92" t="s">
        <v>736</v>
      </c>
      <c r="E257" s="92"/>
      <c r="F257" s="92"/>
      <c r="G257" s="92" t="s">
        <v>205</v>
      </c>
      <c r="H257" s="92"/>
    </row>
    <row r="258" s="67" customFormat="1" ht="22" customHeight="1" spans="1:8">
      <c r="A258" s="91"/>
      <c r="B258" s="91" t="s">
        <v>199</v>
      </c>
      <c r="C258" s="91"/>
      <c r="D258" s="92" t="s">
        <v>750</v>
      </c>
      <c r="E258" s="92"/>
      <c r="F258" s="92"/>
      <c r="G258" s="92" t="s">
        <v>205</v>
      </c>
      <c r="H258" s="92"/>
    </row>
    <row r="259" s="67" customFormat="1" ht="22" customHeight="1" spans="1:8">
      <c r="A259" s="91"/>
      <c r="B259" s="91" t="s">
        <v>199</v>
      </c>
      <c r="C259" s="91"/>
      <c r="D259" s="92" t="s">
        <v>738</v>
      </c>
      <c r="E259" s="92"/>
      <c r="F259" s="92"/>
      <c r="G259" s="92" t="s">
        <v>205</v>
      </c>
      <c r="H259" s="92"/>
    </row>
    <row r="260" s="67" customFormat="1" ht="22" customHeight="1" spans="1:8">
      <c r="A260" s="91"/>
      <c r="B260" s="91" t="s">
        <v>199</v>
      </c>
      <c r="C260" s="91"/>
      <c r="D260" s="92" t="s">
        <v>751</v>
      </c>
      <c r="E260" s="92"/>
      <c r="F260" s="92"/>
      <c r="G260" s="92" t="s">
        <v>205</v>
      </c>
      <c r="H260" s="92"/>
    </row>
    <row r="261" s="67" customFormat="1" ht="22" customHeight="1" spans="1:8">
      <c r="A261" s="91"/>
      <c r="B261" s="91" t="s">
        <v>199</v>
      </c>
      <c r="C261" s="91"/>
      <c r="D261" s="92" t="s">
        <v>740</v>
      </c>
      <c r="E261" s="92"/>
      <c r="F261" s="92"/>
      <c r="G261" s="92" t="s">
        <v>205</v>
      </c>
      <c r="H261" s="92"/>
    </row>
    <row r="262" s="67" customFormat="1" ht="22" customHeight="1" spans="1:8">
      <c r="A262" s="91"/>
      <c r="B262" s="91" t="s">
        <v>199</v>
      </c>
      <c r="C262" s="91"/>
      <c r="D262" s="92" t="s">
        <v>752</v>
      </c>
      <c r="E262" s="92"/>
      <c r="F262" s="92"/>
      <c r="G262" s="92" t="s">
        <v>753</v>
      </c>
      <c r="H262" s="92"/>
    </row>
    <row r="263" s="67" customFormat="1" ht="22" customHeight="1" spans="1:8">
      <c r="A263" s="91"/>
      <c r="B263" s="91" t="s">
        <v>199</v>
      </c>
      <c r="C263" s="91"/>
      <c r="D263" s="92" t="s">
        <v>754</v>
      </c>
      <c r="E263" s="92"/>
      <c r="F263" s="92"/>
      <c r="G263" s="92" t="s">
        <v>753</v>
      </c>
      <c r="H263" s="92"/>
    </row>
    <row r="264" s="67" customFormat="1" ht="22" customHeight="1" spans="1:8">
      <c r="A264" s="91">
        <v>131</v>
      </c>
      <c r="B264" s="91" t="s">
        <v>199</v>
      </c>
      <c r="C264" s="91"/>
      <c r="D264" s="92" t="s">
        <v>755</v>
      </c>
      <c r="E264" s="92"/>
      <c r="F264" s="92"/>
      <c r="G264" s="92" t="s">
        <v>753</v>
      </c>
      <c r="H264" s="92"/>
    </row>
    <row r="265" s="67" customFormat="1" ht="22" customHeight="1" spans="1:8">
      <c r="A265" s="91">
        <v>132</v>
      </c>
      <c r="B265" s="91" t="s">
        <v>199</v>
      </c>
      <c r="C265" s="91"/>
      <c r="D265" s="92" t="s">
        <v>756</v>
      </c>
      <c r="E265" s="92"/>
      <c r="F265" s="92"/>
      <c r="G265" s="92" t="s">
        <v>753</v>
      </c>
      <c r="H265" s="92"/>
    </row>
    <row r="266" s="67" customFormat="1" ht="22" customHeight="1" spans="1:8">
      <c r="A266" s="91">
        <v>133</v>
      </c>
      <c r="B266" s="91" t="s">
        <v>199</v>
      </c>
      <c r="C266" s="91"/>
      <c r="D266" s="92" t="s">
        <v>757</v>
      </c>
      <c r="E266" s="92"/>
      <c r="F266" s="92"/>
      <c r="G266" s="92" t="s">
        <v>753</v>
      </c>
      <c r="H266" s="92"/>
    </row>
    <row r="267" s="67" customFormat="1" ht="22" customHeight="1" spans="1:8">
      <c r="A267" s="91">
        <v>134</v>
      </c>
      <c r="B267" s="91" t="s">
        <v>199</v>
      </c>
      <c r="C267" s="91"/>
      <c r="D267" s="92" t="s">
        <v>758</v>
      </c>
      <c r="E267" s="92"/>
      <c r="F267" s="92"/>
      <c r="G267" s="92" t="s">
        <v>753</v>
      </c>
      <c r="H267" s="92"/>
    </row>
    <row r="268" s="67" customFormat="1" ht="22" customHeight="1" spans="1:8">
      <c r="A268" s="91"/>
      <c r="B268" s="91" t="s">
        <v>199</v>
      </c>
      <c r="C268" s="91"/>
      <c r="D268" s="92" t="s">
        <v>759</v>
      </c>
      <c r="E268" s="92"/>
      <c r="F268" s="92"/>
      <c r="G268" s="92" t="s">
        <v>760</v>
      </c>
      <c r="H268" s="92"/>
    </row>
    <row r="269" s="67" customFormat="1" ht="22" customHeight="1" spans="1:8">
      <c r="A269" s="91"/>
      <c r="B269" s="91" t="s">
        <v>199</v>
      </c>
      <c r="C269" s="91"/>
      <c r="D269" s="92" t="s">
        <v>761</v>
      </c>
      <c r="E269" s="92"/>
      <c r="F269" s="92"/>
      <c r="G269" s="92" t="s">
        <v>760</v>
      </c>
      <c r="H269" s="92"/>
    </row>
    <row r="270" s="67" customFormat="1" ht="22" customHeight="1" spans="1:8">
      <c r="A270" s="91"/>
      <c r="B270" s="91" t="s">
        <v>199</v>
      </c>
      <c r="C270" s="91"/>
      <c r="D270" s="92" t="s">
        <v>752</v>
      </c>
      <c r="E270" s="92"/>
      <c r="F270" s="92"/>
      <c r="G270" s="92" t="s">
        <v>762</v>
      </c>
      <c r="H270" s="92"/>
    </row>
    <row r="271" s="67" customFormat="1" ht="22" customHeight="1" spans="1:8">
      <c r="A271" s="91"/>
      <c r="B271" s="91" t="s">
        <v>199</v>
      </c>
      <c r="C271" s="91"/>
      <c r="D271" s="92" t="s">
        <v>754</v>
      </c>
      <c r="E271" s="92"/>
      <c r="F271" s="92"/>
      <c r="G271" s="92" t="s">
        <v>762</v>
      </c>
      <c r="H271" s="92"/>
    </row>
    <row r="272" s="67" customFormat="1" ht="22" customHeight="1" spans="1:8">
      <c r="A272" s="91"/>
      <c r="B272" s="91" t="s">
        <v>199</v>
      </c>
      <c r="C272" s="91"/>
      <c r="D272" s="92" t="s">
        <v>763</v>
      </c>
      <c r="E272" s="92"/>
      <c r="F272" s="92"/>
      <c r="G272" s="92" t="s">
        <v>762</v>
      </c>
      <c r="H272" s="92"/>
    </row>
    <row r="273" s="67" customFormat="1" ht="22" customHeight="1" spans="1:8">
      <c r="A273" s="91"/>
      <c r="B273" s="91" t="s">
        <v>199</v>
      </c>
      <c r="C273" s="91"/>
      <c r="D273" s="92" t="s">
        <v>764</v>
      </c>
      <c r="E273" s="92"/>
      <c r="F273" s="92"/>
      <c r="G273" s="92" t="s">
        <v>762</v>
      </c>
      <c r="H273" s="92"/>
    </row>
    <row r="274" s="67" customFormat="1" ht="22" customHeight="1" spans="1:8">
      <c r="A274" s="91"/>
      <c r="B274" s="91" t="s">
        <v>199</v>
      </c>
      <c r="C274" s="91"/>
      <c r="D274" s="92" t="s">
        <v>757</v>
      </c>
      <c r="E274" s="92"/>
      <c r="F274" s="92"/>
      <c r="G274" s="92" t="s">
        <v>762</v>
      </c>
      <c r="H274" s="92"/>
    </row>
    <row r="275" s="67" customFormat="1" ht="22" customHeight="1" spans="1:8">
      <c r="A275" s="91"/>
      <c r="B275" s="91" t="s">
        <v>199</v>
      </c>
      <c r="C275" s="91"/>
      <c r="D275" s="92" t="s">
        <v>765</v>
      </c>
      <c r="E275" s="92"/>
      <c r="F275" s="92"/>
      <c r="G275" s="92" t="s">
        <v>762</v>
      </c>
      <c r="H275" s="92"/>
    </row>
    <row r="276" s="67" customFormat="1" ht="22" customHeight="1" spans="1:8">
      <c r="A276" s="91"/>
      <c r="B276" s="91" t="s">
        <v>199</v>
      </c>
      <c r="C276" s="91"/>
      <c r="D276" s="92" t="s">
        <v>766</v>
      </c>
      <c r="E276" s="92"/>
      <c r="F276" s="92"/>
      <c r="G276" s="92" t="s">
        <v>762</v>
      </c>
      <c r="H276" s="92"/>
    </row>
    <row r="277" s="67" customFormat="1" ht="22" customHeight="1" spans="1:8">
      <c r="A277" s="91"/>
      <c r="B277" s="91" t="s">
        <v>199</v>
      </c>
      <c r="C277" s="91"/>
      <c r="D277" s="92" t="s">
        <v>759</v>
      </c>
      <c r="E277" s="92"/>
      <c r="F277" s="92"/>
      <c r="G277" s="92" t="s">
        <v>767</v>
      </c>
      <c r="H277" s="92"/>
    </row>
    <row r="278" s="67" customFormat="1" ht="22" customHeight="1" spans="1:8">
      <c r="A278" s="91"/>
      <c r="B278" s="91" t="s">
        <v>199</v>
      </c>
      <c r="C278" s="91"/>
      <c r="D278" s="92" t="s">
        <v>761</v>
      </c>
      <c r="E278" s="92"/>
      <c r="F278" s="92"/>
      <c r="G278" s="92" t="s">
        <v>767</v>
      </c>
      <c r="H278" s="92"/>
    </row>
    <row r="279" s="67" customFormat="1" ht="22" customHeight="1" spans="1:8">
      <c r="A279" s="93">
        <v>148</v>
      </c>
      <c r="B279" s="93" t="s">
        <v>768</v>
      </c>
      <c r="C279" s="93"/>
      <c r="D279" s="94" t="s">
        <v>769</v>
      </c>
      <c r="E279" s="94"/>
      <c r="F279" s="94" t="s">
        <v>770</v>
      </c>
      <c r="G279" s="94" t="s">
        <v>219</v>
      </c>
      <c r="H279" s="94"/>
    </row>
    <row r="280" s="67" customFormat="1" ht="22" customHeight="1" spans="1:8">
      <c r="A280" s="93"/>
      <c r="B280" s="93" t="s">
        <v>768</v>
      </c>
      <c r="C280" s="93"/>
      <c r="D280" s="94" t="s">
        <v>771</v>
      </c>
      <c r="E280" s="94"/>
      <c r="F280" s="94"/>
      <c r="G280" s="94" t="s">
        <v>219</v>
      </c>
      <c r="H280" s="94"/>
    </row>
    <row r="281" s="67" customFormat="1" ht="22" customHeight="1" spans="1:8">
      <c r="A281" s="93"/>
      <c r="B281" s="93" t="s">
        <v>768</v>
      </c>
      <c r="C281" s="93"/>
      <c r="D281" s="94" t="s">
        <v>772</v>
      </c>
      <c r="E281" s="94"/>
      <c r="F281" s="94"/>
      <c r="G281" s="94" t="s">
        <v>219</v>
      </c>
      <c r="H281" s="94"/>
    </row>
    <row r="282" s="67" customFormat="1" ht="22" customHeight="1" spans="1:8">
      <c r="A282" s="93"/>
      <c r="B282" s="93" t="s">
        <v>768</v>
      </c>
      <c r="C282" s="93"/>
      <c r="D282" s="94" t="s">
        <v>773</v>
      </c>
      <c r="E282" s="94"/>
      <c r="F282" s="94"/>
      <c r="G282" s="94" t="s">
        <v>219</v>
      </c>
      <c r="H282" s="94"/>
    </row>
    <row r="283" s="67" customFormat="1" ht="22" customHeight="1" spans="1:8">
      <c r="A283" s="93"/>
      <c r="B283" s="93" t="s">
        <v>768</v>
      </c>
      <c r="C283" s="93"/>
      <c r="D283" s="94" t="s">
        <v>774</v>
      </c>
      <c r="E283" s="94"/>
      <c r="F283" s="94"/>
      <c r="G283" s="94" t="s">
        <v>219</v>
      </c>
      <c r="H283" s="94"/>
    </row>
    <row r="284" s="67" customFormat="1" ht="22" customHeight="1" spans="1:8">
      <c r="A284" s="93"/>
      <c r="B284" s="93" t="s">
        <v>768</v>
      </c>
      <c r="C284" s="93"/>
      <c r="D284" s="94" t="s">
        <v>775</v>
      </c>
      <c r="E284" s="94"/>
      <c r="F284" s="94"/>
      <c r="G284" s="94" t="s">
        <v>219</v>
      </c>
      <c r="H284" s="94"/>
    </row>
    <row r="285" s="67" customFormat="1" ht="22" customHeight="1" spans="1:8">
      <c r="A285" s="93"/>
      <c r="B285" s="93" t="s">
        <v>768</v>
      </c>
      <c r="C285" s="93"/>
      <c r="D285" s="94" t="s">
        <v>776</v>
      </c>
      <c r="E285" s="94"/>
      <c r="F285" s="94"/>
      <c r="G285" s="94" t="s">
        <v>219</v>
      </c>
      <c r="H285" s="94"/>
    </row>
    <row r="286" s="67" customFormat="1" ht="22" customHeight="1" spans="1:8">
      <c r="A286" s="93"/>
      <c r="B286" s="93" t="s">
        <v>768</v>
      </c>
      <c r="C286" s="93"/>
      <c r="D286" s="94" t="s">
        <v>777</v>
      </c>
      <c r="E286" s="94"/>
      <c r="F286" s="94"/>
      <c r="G286" s="94" t="s">
        <v>219</v>
      </c>
      <c r="H286" s="94"/>
    </row>
    <row r="287" s="67" customFormat="1" ht="22" customHeight="1" spans="1:8">
      <c r="A287" s="93"/>
      <c r="B287" s="93" t="s">
        <v>768</v>
      </c>
      <c r="C287" s="93"/>
      <c r="D287" s="94" t="s">
        <v>778</v>
      </c>
      <c r="E287" s="94"/>
      <c r="F287" s="94"/>
      <c r="G287" s="94" t="s">
        <v>219</v>
      </c>
      <c r="H287" s="94"/>
    </row>
    <row r="288" s="67" customFormat="1" ht="22" customHeight="1" spans="1:8">
      <c r="A288" s="93"/>
      <c r="B288" s="93" t="s">
        <v>768</v>
      </c>
      <c r="C288" s="93"/>
      <c r="D288" s="94" t="s">
        <v>779</v>
      </c>
      <c r="E288" s="94"/>
      <c r="F288" s="94"/>
      <c r="G288" s="94" t="s">
        <v>219</v>
      </c>
      <c r="H288" s="94"/>
    </row>
    <row r="289" s="67" customFormat="1" ht="22" customHeight="1" spans="1:8">
      <c r="A289" s="93"/>
      <c r="B289" s="93" t="s">
        <v>768</v>
      </c>
      <c r="C289" s="93"/>
      <c r="D289" s="94" t="s">
        <v>780</v>
      </c>
      <c r="E289" s="94"/>
      <c r="F289" s="94"/>
      <c r="G289" s="94" t="s">
        <v>219</v>
      </c>
      <c r="H289" s="94"/>
    </row>
    <row r="290" s="67" customFormat="1" ht="22" customHeight="1" spans="1:8">
      <c r="A290" s="93"/>
      <c r="B290" s="93" t="s">
        <v>768</v>
      </c>
      <c r="C290" s="93"/>
      <c r="D290" s="94" t="s">
        <v>781</v>
      </c>
      <c r="E290" s="94"/>
      <c r="F290" s="94"/>
      <c r="G290" s="94" t="s">
        <v>219</v>
      </c>
      <c r="H290" s="94"/>
    </row>
    <row r="291" s="67" customFormat="1" ht="22" customHeight="1" spans="1:8">
      <c r="A291" s="93"/>
      <c r="B291" s="93" t="s">
        <v>768</v>
      </c>
      <c r="C291" s="93"/>
      <c r="D291" s="94" t="s">
        <v>782</v>
      </c>
      <c r="E291" s="94"/>
      <c r="F291" s="94"/>
      <c r="G291" s="94" t="s">
        <v>219</v>
      </c>
      <c r="H291" s="94"/>
    </row>
    <row r="292" s="67" customFormat="1" ht="22" customHeight="1" spans="1:8">
      <c r="A292" s="93"/>
      <c r="B292" s="93" t="s">
        <v>768</v>
      </c>
      <c r="C292" s="93"/>
      <c r="D292" s="94" t="s">
        <v>783</v>
      </c>
      <c r="E292" s="94"/>
      <c r="F292" s="94"/>
      <c r="G292" s="94" t="s">
        <v>219</v>
      </c>
      <c r="H292" s="94"/>
    </row>
    <row r="293" s="67" customFormat="1" ht="22" customHeight="1" spans="1:8">
      <c r="A293" s="93"/>
      <c r="B293" s="93" t="s">
        <v>768</v>
      </c>
      <c r="C293" s="93"/>
      <c r="D293" s="94" t="s">
        <v>784</v>
      </c>
      <c r="E293" s="94"/>
      <c r="F293" s="94"/>
      <c r="G293" s="94" t="s">
        <v>219</v>
      </c>
      <c r="H293" s="94"/>
    </row>
    <row r="294" s="67" customFormat="1" ht="22" customHeight="1" spans="1:8">
      <c r="A294" s="93"/>
      <c r="B294" s="93" t="s">
        <v>768</v>
      </c>
      <c r="C294" s="93"/>
      <c r="D294" s="94" t="s">
        <v>785</v>
      </c>
      <c r="E294" s="94"/>
      <c r="F294" s="94"/>
      <c r="G294" s="94" t="s">
        <v>219</v>
      </c>
      <c r="H294" s="94"/>
    </row>
    <row r="295" s="67" customFormat="1" ht="22" customHeight="1" spans="1:8">
      <c r="A295" s="93"/>
      <c r="B295" s="93" t="s">
        <v>768</v>
      </c>
      <c r="C295" s="93"/>
      <c r="D295" s="94" t="s">
        <v>786</v>
      </c>
      <c r="E295" s="94"/>
      <c r="F295" s="94"/>
      <c r="G295" s="94" t="s">
        <v>219</v>
      </c>
      <c r="H295" s="94"/>
    </row>
    <row r="296" s="67" customFormat="1" ht="22" customHeight="1" spans="1:8">
      <c r="A296" s="93"/>
      <c r="B296" s="93" t="s">
        <v>768</v>
      </c>
      <c r="C296" s="93"/>
      <c r="D296" s="94" t="s">
        <v>787</v>
      </c>
      <c r="E296" s="94"/>
      <c r="F296" s="94"/>
      <c r="G296" s="94" t="s">
        <v>219</v>
      </c>
      <c r="H296" s="94"/>
    </row>
    <row r="297" s="67" customFormat="1" ht="22" customHeight="1" spans="1:8">
      <c r="A297" s="95">
        <v>152</v>
      </c>
      <c r="B297" s="95" t="s">
        <v>222</v>
      </c>
      <c r="C297" s="95"/>
      <c r="D297" s="96" t="s">
        <v>788</v>
      </c>
      <c r="E297" s="96"/>
      <c r="F297" s="96" t="s">
        <v>789</v>
      </c>
      <c r="G297" s="96" t="s">
        <v>225</v>
      </c>
      <c r="H297" s="96"/>
    </row>
    <row r="298" s="67" customFormat="1" ht="22" customHeight="1" spans="1:8">
      <c r="A298" s="95">
        <v>153</v>
      </c>
      <c r="B298" s="95" t="s">
        <v>222</v>
      </c>
      <c r="C298" s="95"/>
      <c r="D298" s="96" t="s">
        <v>790</v>
      </c>
      <c r="E298" s="96"/>
      <c r="F298" s="96" t="s">
        <v>789</v>
      </c>
      <c r="G298" s="96"/>
      <c r="H298" s="96"/>
    </row>
    <row r="299" s="67" customFormat="1" ht="22" customHeight="1" spans="1:8">
      <c r="A299" s="95">
        <v>154</v>
      </c>
      <c r="B299" s="95" t="s">
        <v>222</v>
      </c>
      <c r="C299" s="95"/>
      <c r="D299" s="96" t="s">
        <v>791</v>
      </c>
      <c r="E299" s="96"/>
      <c r="F299" s="96" t="s">
        <v>789</v>
      </c>
      <c r="G299" s="96"/>
      <c r="H299" s="96"/>
    </row>
    <row r="300" s="67" customFormat="1" ht="22" customHeight="1" spans="1:8">
      <c r="A300" s="95">
        <v>155</v>
      </c>
      <c r="B300" s="95" t="s">
        <v>222</v>
      </c>
      <c r="C300" s="95"/>
      <c r="D300" s="96" t="s">
        <v>792</v>
      </c>
      <c r="E300" s="96"/>
      <c r="F300" s="96" t="s">
        <v>789</v>
      </c>
      <c r="G300" s="96"/>
      <c r="H300" s="96"/>
    </row>
    <row r="301" s="67" customFormat="1" ht="22" customHeight="1" spans="1:8">
      <c r="A301" s="95">
        <v>156</v>
      </c>
      <c r="B301" s="95" t="s">
        <v>222</v>
      </c>
      <c r="C301" s="95"/>
      <c r="D301" s="96" t="s">
        <v>793</v>
      </c>
      <c r="E301" s="96"/>
      <c r="F301" s="96" t="s">
        <v>789</v>
      </c>
      <c r="G301" s="96"/>
      <c r="H301" s="96"/>
    </row>
    <row r="302" s="67" customFormat="1" ht="22" customHeight="1" spans="1:8">
      <c r="A302" s="95">
        <v>157</v>
      </c>
      <c r="B302" s="95" t="s">
        <v>222</v>
      </c>
      <c r="C302" s="95"/>
      <c r="D302" s="96" t="s">
        <v>794</v>
      </c>
      <c r="E302" s="96"/>
      <c r="F302" s="96" t="s">
        <v>795</v>
      </c>
      <c r="G302" s="96"/>
      <c r="H302" s="96"/>
    </row>
    <row r="303" s="67" customFormat="1" ht="22" customHeight="1" spans="1:8">
      <c r="A303" s="95">
        <v>158</v>
      </c>
      <c r="B303" s="95" t="s">
        <v>222</v>
      </c>
      <c r="C303" s="95"/>
      <c r="D303" s="96" t="s">
        <v>796</v>
      </c>
      <c r="E303" s="96"/>
      <c r="F303" s="96" t="s">
        <v>795</v>
      </c>
      <c r="G303" s="96"/>
      <c r="H303" s="96"/>
    </row>
    <row r="304" s="67" customFormat="1" ht="22" customHeight="1" spans="1:8">
      <c r="A304" s="95">
        <v>159</v>
      </c>
      <c r="B304" s="95" t="s">
        <v>222</v>
      </c>
      <c r="C304" s="95"/>
      <c r="D304" s="96" t="s">
        <v>797</v>
      </c>
      <c r="E304" s="96"/>
      <c r="F304" s="96" t="s">
        <v>795</v>
      </c>
      <c r="G304" s="96"/>
      <c r="H304" s="96"/>
    </row>
    <row r="305" s="67" customFormat="1" ht="22" customHeight="1" spans="1:8">
      <c r="A305" s="95">
        <v>160</v>
      </c>
      <c r="B305" s="95" t="s">
        <v>222</v>
      </c>
      <c r="C305" s="95"/>
      <c r="D305" s="96" t="s">
        <v>798</v>
      </c>
      <c r="E305" s="96"/>
      <c r="F305" s="96" t="s">
        <v>795</v>
      </c>
      <c r="G305" s="96"/>
      <c r="H305" s="96"/>
    </row>
    <row r="306" s="67" customFormat="1" ht="22" customHeight="1" spans="1:8">
      <c r="A306" s="95">
        <v>161</v>
      </c>
      <c r="B306" s="95" t="s">
        <v>222</v>
      </c>
      <c r="C306" s="95"/>
      <c r="D306" s="96" t="s">
        <v>799</v>
      </c>
      <c r="E306" s="96"/>
      <c r="F306" s="96" t="s">
        <v>800</v>
      </c>
      <c r="G306" s="96"/>
      <c r="H306" s="96"/>
    </row>
    <row r="307" s="67" customFormat="1" ht="22" customHeight="1" spans="1:8">
      <c r="A307" s="95">
        <v>162</v>
      </c>
      <c r="B307" s="95" t="s">
        <v>222</v>
      </c>
      <c r="C307" s="95"/>
      <c r="D307" s="96" t="s">
        <v>801</v>
      </c>
      <c r="E307" s="96"/>
      <c r="F307" s="96" t="s">
        <v>800</v>
      </c>
      <c r="G307" s="96"/>
      <c r="H307" s="96"/>
    </row>
    <row r="308" s="67" customFormat="1" ht="22" customHeight="1" spans="1:8">
      <c r="A308" s="95">
        <v>163</v>
      </c>
      <c r="B308" s="95" t="s">
        <v>222</v>
      </c>
      <c r="C308" s="95"/>
      <c r="D308" s="96" t="s">
        <v>802</v>
      </c>
      <c r="E308" s="96"/>
      <c r="F308" s="96" t="s">
        <v>800</v>
      </c>
      <c r="G308" s="96"/>
      <c r="H308" s="96"/>
    </row>
    <row r="309" s="67" customFormat="1" ht="22" customHeight="1" spans="1:8">
      <c r="A309" s="95">
        <v>164</v>
      </c>
      <c r="B309" s="95" t="s">
        <v>222</v>
      </c>
      <c r="C309" s="95"/>
      <c r="D309" s="96" t="s">
        <v>803</v>
      </c>
      <c r="E309" s="96"/>
      <c r="F309" s="96" t="s">
        <v>800</v>
      </c>
      <c r="G309" s="96"/>
      <c r="H309" s="96"/>
    </row>
    <row r="310" s="67" customFormat="1" ht="22" customHeight="1" spans="1:8">
      <c r="A310" s="95">
        <v>165</v>
      </c>
      <c r="B310" s="95" t="s">
        <v>222</v>
      </c>
      <c r="C310" s="95"/>
      <c r="D310" s="96" t="s">
        <v>804</v>
      </c>
      <c r="E310" s="96"/>
      <c r="F310" s="96" t="s">
        <v>800</v>
      </c>
      <c r="G310" s="96"/>
      <c r="H310" s="96"/>
    </row>
    <row r="311" s="67" customFormat="1" ht="22" customHeight="1" spans="1:8">
      <c r="A311" s="95">
        <v>166</v>
      </c>
      <c r="B311" s="95" t="s">
        <v>222</v>
      </c>
      <c r="C311" s="95"/>
      <c r="D311" s="96" t="s">
        <v>805</v>
      </c>
      <c r="E311" s="96"/>
      <c r="F311" s="96" t="s">
        <v>789</v>
      </c>
      <c r="G311" s="96"/>
      <c r="H311" s="96"/>
    </row>
    <row r="312" s="67" customFormat="1" ht="22" customHeight="1" spans="1:8">
      <c r="A312" s="95">
        <v>167</v>
      </c>
      <c r="B312" s="95" t="s">
        <v>222</v>
      </c>
      <c r="C312" s="95"/>
      <c r="D312" s="96" t="s">
        <v>806</v>
      </c>
      <c r="E312" s="96"/>
      <c r="F312" s="96" t="s">
        <v>789</v>
      </c>
      <c r="G312" s="96"/>
      <c r="H312" s="96"/>
    </row>
    <row r="313" s="67" customFormat="1" ht="22" customHeight="1" spans="1:8">
      <c r="A313" s="95">
        <v>168</v>
      </c>
      <c r="B313" s="95" t="s">
        <v>222</v>
      </c>
      <c r="C313" s="95"/>
      <c r="D313" s="96" t="s">
        <v>807</v>
      </c>
      <c r="E313" s="96"/>
      <c r="F313" s="96" t="s">
        <v>789</v>
      </c>
      <c r="G313" s="96"/>
      <c r="H313" s="96"/>
    </row>
    <row r="314" s="67" customFormat="1" ht="22" customHeight="1" spans="1:8">
      <c r="A314" s="95">
        <v>169</v>
      </c>
      <c r="B314" s="95" t="s">
        <v>222</v>
      </c>
      <c r="C314" s="95"/>
      <c r="D314" s="96" t="s">
        <v>808</v>
      </c>
      <c r="E314" s="96"/>
      <c r="F314" s="96" t="s">
        <v>809</v>
      </c>
      <c r="G314" s="96"/>
      <c r="H314" s="96"/>
    </row>
    <row r="315" s="67" customFormat="1" ht="22" customHeight="1" spans="1:8">
      <c r="A315" s="95">
        <v>170</v>
      </c>
      <c r="B315" s="95" t="s">
        <v>222</v>
      </c>
      <c r="C315" s="95"/>
      <c r="D315" s="96" t="s">
        <v>810</v>
      </c>
      <c r="E315" s="96"/>
      <c r="F315" s="96" t="s">
        <v>789</v>
      </c>
      <c r="G315" s="96"/>
      <c r="H315" s="96"/>
    </row>
    <row r="316" s="67" customFormat="1" ht="22" customHeight="1" spans="1:8">
      <c r="A316" s="95">
        <v>171</v>
      </c>
      <c r="B316" s="95" t="s">
        <v>222</v>
      </c>
      <c r="C316" s="95"/>
      <c r="D316" s="96" t="s">
        <v>811</v>
      </c>
      <c r="E316" s="96"/>
      <c r="F316" s="96" t="s">
        <v>789</v>
      </c>
      <c r="G316" s="96"/>
      <c r="H316" s="96"/>
    </row>
    <row r="317" s="67" customFormat="1" ht="22" customHeight="1" spans="1:8">
      <c r="A317" s="95">
        <v>172</v>
      </c>
      <c r="B317" s="95" t="s">
        <v>222</v>
      </c>
      <c r="C317" s="95"/>
      <c r="D317" s="96" t="s">
        <v>812</v>
      </c>
      <c r="E317" s="96"/>
      <c r="F317" s="96" t="s">
        <v>813</v>
      </c>
      <c r="G317" s="96"/>
      <c r="H317" s="96"/>
    </row>
    <row r="318" s="67" customFormat="1" ht="22" customHeight="1" spans="1:8">
      <c r="A318" s="95">
        <v>173</v>
      </c>
      <c r="B318" s="95" t="s">
        <v>222</v>
      </c>
      <c r="C318" s="95"/>
      <c r="D318" s="96" t="s">
        <v>814</v>
      </c>
      <c r="E318" s="96"/>
      <c r="F318" s="96" t="s">
        <v>813</v>
      </c>
      <c r="G318" s="96"/>
      <c r="H318" s="96"/>
    </row>
    <row r="319" s="67" customFormat="1" ht="22" customHeight="1" spans="1:8">
      <c r="A319" s="95">
        <v>174</v>
      </c>
      <c r="B319" s="95" t="s">
        <v>222</v>
      </c>
      <c r="C319" s="95"/>
      <c r="D319" s="96" t="s">
        <v>815</v>
      </c>
      <c r="E319" s="96"/>
      <c r="F319" s="96" t="s">
        <v>813</v>
      </c>
      <c r="G319" s="96"/>
      <c r="H319" s="96"/>
    </row>
    <row r="320" s="67" customFormat="1" ht="22" customHeight="1" spans="1:8">
      <c r="A320" s="95">
        <v>175</v>
      </c>
      <c r="B320" s="95" t="s">
        <v>222</v>
      </c>
      <c r="C320" s="95"/>
      <c r="D320" s="96" t="s">
        <v>816</v>
      </c>
      <c r="E320" s="96"/>
      <c r="F320" s="96" t="s">
        <v>813</v>
      </c>
      <c r="G320" s="96"/>
      <c r="H320" s="96"/>
    </row>
    <row r="321" s="67" customFormat="1" ht="22" customHeight="1" spans="1:8">
      <c r="A321" s="95">
        <v>176</v>
      </c>
      <c r="B321" s="95" t="s">
        <v>222</v>
      </c>
      <c r="C321" s="95"/>
      <c r="D321" s="96" t="s">
        <v>799</v>
      </c>
      <c r="E321" s="96"/>
      <c r="F321" s="96" t="s">
        <v>813</v>
      </c>
      <c r="G321" s="96"/>
      <c r="H321" s="96"/>
    </row>
    <row r="322" s="67" customFormat="1" ht="22" customHeight="1" spans="1:8">
      <c r="A322" s="95">
        <v>177</v>
      </c>
      <c r="B322" s="95" t="s">
        <v>222</v>
      </c>
      <c r="C322" s="95"/>
      <c r="D322" s="96" t="s">
        <v>817</v>
      </c>
      <c r="E322" s="96"/>
      <c r="F322" s="96" t="s">
        <v>813</v>
      </c>
      <c r="G322" s="96"/>
      <c r="H322" s="96"/>
    </row>
    <row r="323" s="67" customFormat="1" ht="22" customHeight="1" spans="1:8">
      <c r="A323" s="95">
        <v>178</v>
      </c>
      <c r="B323" s="95" t="s">
        <v>222</v>
      </c>
      <c r="C323" s="95"/>
      <c r="D323" s="96" t="s">
        <v>818</v>
      </c>
      <c r="E323" s="96"/>
      <c r="F323" s="96" t="s">
        <v>813</v>
      </c>
      <c r="G323" s="96"/>
      <c r="H323" s="96"/>
    </row>
    <row r="324" s="67" customFormat="1" ht="22" customHeight="1" spans="1:8">
      <c r="A324" s="95">
        <v>179</v>
      </c>
      <c r="B324" s="95" t="s">
        <v>222</v>
      </c>
      <c r="C324" s="95"/>
      <c r="D324" s="96" t="s">
        <v>808</v>
      </c>
      <c r="E324" s="96"/>
      <c r="F324" s="96" t="s">
        <v>813</v>
      </c>
      <c r="G324" s="96"/>
      <c r="H324" s="96"/>
    </row>
    <row r="325" s="67" customFormat="1" ht="22" customHeight="1" spans="1:8">
      <c r="A325" s="95">
        <v>180</v>
      </c>
      <c r="B325" s="95" t="s">
        <v>222</v>
      </c>
      <c r="C325" s="95"/>
      <c r="D325" s="96" t="s">
        <v>810</v>
      </c>
      <c r="E325" s="96"/>
      <c r="F325" s="96" t="s">
        <v>813</v>
      </c>
      <c r="G325" s="96"/>
      <c r="H325" s="96"/>
    </row>
    <row r="326" s="67" customFormat="1" ht="22" customHeight="1" spans="1:8">
      <c r="A326" s="95">
        <v>181</v>
      </c>
      <c r="B326" s="95" t="s">
        <v>222</v>
      </c>
      <c r="C326" s="95"/>
      <c r="D326" s="96" t="s">
        <v>819</v>
      </c>
      <c r="E326" s="96"/>
      <c r="F326" s="96" t="s">
        <v>813</v>
      </c>
      <c r="G326" s="96"/>
      <c r="H326" s="96"/>
    </row>
    <row r="327" s="67" customFormat="1" ht="22" customHeight="1" spans="1:8">
      <c r="A327" s="95">
        <v>182</v>
      </c>
      <c r="B327" s="95" t="s">
        <v>222</v>
      </c>
      <c r="C327" s="95"/>
      <c r="D327" s="96" t="s">
        <v>820</v>
      </c>
      <c r="E327" s="96"/>
      <c r="F327" s="96" t="s">
        <v>821</v>
      </c>
      <c r="G327" s="96"/>
      <c r="H327" s="96"/>
    </row>
    <row r="328" s="67" customFormat="1" ht="22" customHeight="1" spans="1:8">
      <c r="A328" s="95">
        <v>183</v>
      </c>
      <c r="B328" s="95" t="s">
        <v>222</v>
      </c>
      <c r="C328" s="95"/>
      <c r="D328" s="96" t="s">
        <v>812</v>
      </c>
      <c r="E328" s="96"/>
      <c r="F328" s="96" t="s">
        <v>822</v>
      </c>
      <c r="G328" s="96"/>
      <c r="H328" s="96"/>
    </row>
    <row r="329" s="67" customFormat="1" ht="22" customHeight="1" spans="1:8">
      <c r="A329" s="95">
        <v>184</v>
      </c>
      <c r="B329" s="95" t="s">
        <v>222</v>
      </c>
      <c r="C329" s="95"/>
      <c r="D329" s="96" t="s">
        <v>814</v>
      </c>
      <c r="E329" s="96"/>
      <c r="F329" s="96" t="s">
        <v>822</v>
      </c>
      <c r="G329" s="96"/>
      <c r="H329" s="96"/>
    </row>
    <row r="330" s="67" customFormat="1" ht="22" customHeight="1" spans="1:8">
      <c r="A330" s="95">
        <v>185</v>
      </c>
      <c r="B330" s="95" t="s">
        <v>222</v>
      </c>
      <c r="C330" s="95"/>
      <c r="D330" s="96" t="s">
        <v>815</v>
      </c>
      <c r="E330" s="96"/>
      <c r="F330" s="96" t="s">
        <v>822</v>
      </c>
      <c r="G330" s="96"/>
      <c r="H330" s="96"/>
    </row>
    <row r="331" s="67" customFormat="1" ht="22" customHeight="1" spans="1:8">
      <c r="A331" s="95">
        <v>186</v>
      </c>
      <c r="B331" s="95" t="s">
        <v>222</v>
      </c>
      <c r="C331" s="95"/>
      <c r="D331" s="96" t="s">
        <v>823</v>
      </c>
      <c r="E331" s="96"/>
      <c r="F331" s="96" t="s">
        <v>822</v>
      </c>
      <c r="G331" s="96"/>
      <c r="H331" s="96"/>
    </row>
    <row r="332" s="67" customFormat="1" ht="22" customHeight="1" spans="1:8">
      <c r="A332" s="95">
        <v>187</v>
      </c>
      <c r="B332" s="95" t="s">
        <v>222</v>
      </c>
      <c r="C332" s="95"/>
      <c r="D332" s="96" t="s">
        <v>824</v>
      </c>
      <c r="E332" s="96"/>
      <c r="F332" s="96" t="s">
        <v>822</v>
      </c>
      <c r="G332" s="96"/>
      <c r="H332" s="96"/>
    </row>
    <row r="333" s="67" customFormat="1" ht="22" customHeight="1" spans="1:8">
      <c r="A333" s="95">
        <v>188</v>
      </c>
      <c r="B333" s="95" t="s">
        <v>222</v>
      </c>
      <c r="C333" s="95"/>
      <c r="D333" s="96" t="s">
        <v>808</v>
      </c>
      <c r="E333" s="96"/>
      <c r="F333" s="96" t="s">
        <v>822</v>
      </c>
      <c r="G333" s="96"/>
      <c r="H333" s="96"/>
    </row>
    <row r="334" s="67" customFormat="1" ht="22" customHeight="1" spans="1:8">
      <c r="A334" s="95">
        <v>189</v>
      </c>
      <c r="B334" s="95" t="s">
        <v>222</v>
      </c>
      <c r="C334" s="95"/>
      <c r="D334" s="96" t="s">
        <v>810</v>
      </c>
      <c r="E334" s="96"/>
      <c r="F334" s="96" t="s">
        <v>822</v>
      </c>
      <c r="G334" s="96"/>
      <c r="H334" s="96"/>
    </row>
    <row r="335" s="67" customFormat="1" ht="22" customHeight="1" spans="1:8">
      <c r="A335" s="95">
        <v>190</v>
      </c>
      <c r="B335" s="95" t="s">
        <v>222</v>
      </c>
      <c r="C335" s="95"/>
      <c r="D335" s="96" t="s">
        <v>825</v>
      </c>
      <c r="E335" s="96"/>
      <c r="F335" s="96" t="s">
        <v>822</v>
      </c>
      <c r="G335" s="96"/>
      <c r="H335" s="96"/>
    </row>
    <row r="336" s="67" customFormat="1" ht="22" customHeight="1" spans="1:8">
      <c r="A336" s="95">
        <v>191</v>
      </c>
      <c r="B336" s="95" t="s">
        <v>222</v>
      </c>
      <c r="C336" s="95"/>
      <c r="D336" s="96" t="s">
        <v>820</v>
      </c>
      <c r="E336" s="96"/>
      <c r="F336" s="96" t="s">
        <v>826</v>
      </c>
      <c r="G336" s="96"/>
      <c r="H336" s="96"/>
    </row>
    <row r="337" s="67" customFormat="1" ht="22" customHeight="1" spans="1:8">
      <c r="A337" s="95">
        <v>192</v>
      </c>
      <c r="B337" s="95" t="s">
        <v>222</v>
      </c>
      <c r="C337" s="95"/>
      <c r="D337" s="96" t="s">
        <v>812</v>
      </c>
      <c r="E337" s="96"/>
      <c r="F337" s="96" t="s">
        <v>827</v>
      </c>
      <c r="G337" s="96"/>
      <c r="H337" s="96"/>
    </row>
    <row r="338" s="67" customFormat="1" ht="22" customHeight="1" spans="1:8">
      <c r="A338" s="95">
        <v>193</v>
      </c>
      <c r="B338" s="95" t="s">
        <v>222</v>
      </c>
      <c r="C338" s="95"/>
      <c r="D338" s="96" t="s">
        <v>814</v>
      </c>
      <c r="E338" s="96"/>
      <c r="F338" s="96" t="s">
        <v>827</v>
      </c>
      <c r="G338" s="96"/>
      <c r="H338" s="96"/>
    </row>
    <row r="339" s="67" customFormat="1" ht="22" customHeight="1" spans="1:8">
      <c r="A339" s="95">
        <v>194</v>
      </c>
      <c r="B339" s="95" t="s">
        <v>222</v>
      </c>
      <c r="C339" s="95"/>
      <c r="D339" s="96" t="s">
        <v>815</v>
      </c>
      <c r="E339" s="96"/>
      <c r="F339" s="96" t="s">
        <v>827</v>
      </c>
      <c r="G339" s="96"/>
      <c r="H339" s="96"/>
    </row>
    <row r="340" s="67" customFormat="1" ht="22" customHeight="1" spans="1:8">
      <c r="A340" s="95">
        <v>195</v>
      </c>
      <c r="B340" s="95" t="s">
        <v>222</v>
      </c>
      <c r="C340" s="95"/>
      <c r="D340" s="96" t="s">
        <v>824</v>
      </c>
      <c r="E340" s="96"/>
      <c r="F340" s="96" t="s">
        <v>827</v>
      </c>
      <c r="G340" s="96"/>
      <c r="H340" s="96"/>
    </row>
    <row r="341" s="67" customFormat="1" ht="22" customHeight="1" spans="1:8">
      <c r="A341" s="95">
        <v>196</v>
      </c>
      <c r="B341" s="95" t="s">
        <v>222</v>
      </c>
      <c r="C341" s="95"/>
      <c r="D341" s="96" t="s">
        <v>808</v>
      </c>
      <c r="E341" s="96"/>
      <c r="F341" s="96" t="s">
        <v>827</v>
      </c>
      <c r="G341" s="96"/>
      <c r="H341" s="96"/>
    </row>
    <row r="342" s="67" customFormat="1" ht="22" customHeight="1" spans="1:8">
      <c r="A342" s="95">
        <v>197</v>
      </c>
      <c r="B342" s="95" t="s">
        <v>222</v>
      </c>
      <c r="C342" s="95"/>
      <c r="D342" s="96" t="s">
        <v>810</v>
      </c>
      <c r="E342" s="96"/>
      <c r="F342" s="96" t="s">
        <v>827</v>
      </c>
      <c r="G342" s="96"/>
      <c r="H342" s="96"/>
    </row>
    <row r="343" s="67" customFormat="1" ht="22" customHeight="1" spans="1:8">
      <c r="A343" s="95">
        <v>198</v>
      </c>
      <c r="B343" s="95" t="s">
        <v>222</v>
      </c>
      <c r="C343" s="95"/>
      <c r="D343" s="96" t="s">
        <v>828</v>
      </c>
      <c r="E343" s="96"/>
      <c r="F343" s="96" t="s">
        <v>827</v>
      </c>
      <c r="G343" s="96"/>
      <c r="H343" s="96"/>
    </row>
    <row r="344" s="67" customFormat="1" ht="22" customHeight="1" spans="1:8">
      <c r="A344" s="95">
        <v>199</v>
      </c>
      <c r="B344" s="95" t="s">
        <v>222</v>
      </c>
      <c r="C344" s="95"/>
      <c r="D344" s="96" t="s">
        <v>820</v>
      </c>
      <c r="E344" s="96"/>
      <c r="F344" s="96" t="s">
        <v>827</v>
      </c>
      <c r="G344" s="96"/>
      <c r="H344" s="96"/>
    </row>
    <row r="345" s="67" customFormat="1" ht="22" customHeight="1" spans="1:8">
      <c r="A345" s="95">
        <v>200</v>
      </c>
      <c r="B345" s="95" t="s">
        <v>222</v>
      </c>
      <c r="C345" s="95"/>
      <c r="D345" s="96" t="s">
        <v>812</v>
      </c>
      <c r="E345" s="96"/>
      <c r="F345" s="96" t="s">
        <v>829</v>
      </c>
      <c r="G345" s="96"/>
      <c r="H345" s="96"/>
    </row>
    <row r="346" s="67" customFormat="1" ht="22" customHeight="1" spans="1:8">
      <c r="A346" s="95">
        <v>201</v>
      </c>
      <c r="B346" s="95" t="s">
        <v>222</v>
      </c>
      <c r="C346" s="95"/>
      <c r="D346" s="96" t="s">
        <v>814</v>
      </c>
      <c r="E346" s="96"/>
      <c r="F346" s="96" t="s">
        <v>829</v>
      </c>
      <c r="G346" s="96"/>
      <c r="H346" s="96"/>
    </row>
    <row r="347" s="67" customFormat="1" ht="22" customHeight="1" spans="1:8">
      <c r="A347" s="95">
        <v>202</v>
      </c>
      <c r="B347" s="95" t="s">
        <v>222</v>
      </c>
      <c r="C347" s="95"/>
      <c r="D347" s="96" t="s">
        <v>815</v>
      </c>
      <c r="E347" s="96"/>
      <c r="F347" s="96" t="s">
        <v>829</v>
      </c>
      <c r="G347" s="96"/>
      <c r="H347" s="96"/>
    </row>
    <row r="348" s="67" customFormat="1" ht="22" customHeight="1" spans="1:8">
      <c r="A348" s="95">
        <v>203</v>
      </c>
      <c r="B348" s="95" t="s">
        <v>222</v>
      </c>
      <c r="C348" s="95"/>
      <c r="D348" s="96" t="s">
        <v>824</v>
      </c>
      <c r="E348" s="96"/>
      <c r="F348" s="96" t="s">
        <v>829</v>
      </c>
      <c r="G348" s="96"/>
      <c r="H348" s="96"/>
    </row>
    <row r="349" s="67" customFormat="1" ht="22" customHeight="1" spans="1:8">
      <c r="A349" s="95">
        <v>204</v>
      </c>
      <c r="B349" s="95" t="s">
        <v>222</v>
      </c>
      <c r="C349" s="95"/>
      <c r="D349" s="96" t="s">
        <v>808</v>
      </c>
      <c r="E349" s="96"/>
      <c r="F349" s="96" t="s">
        <v>829</v>
      </c>
      <c r="G349" s="96"/>
      <c r="H349" s="96"/>
    </row>
    <row r="350" s="67" customFormat="1" ht="22" customHeight="1" spans="1:8">
      <c r="A350" s="95">
        <v>205</v>
      </c>
      <c r="B350" s="95" t="s">
        <v>222</v>
      </c>
      <c r="C350" s="95"/>
      <c r="D350" s="96" t="s">
        <v>810</v>
      </c>
      <c r="E350" s="96"/>
      <c r="F350" s="96" t="s">
        <v>829</v>
      </c>
      <c r="G350" s="96"/>
      <c r="H350" s="96"/>
    </row>
    <row r="351" s="67" customFormat="1" ht="22" customHeight="1" spans="1:8">
      <c r="A351" s="95">
        <v>206</v>
      </c>
      <c r="B351" s="95" t="s">
        <v>222</v>
      </c>
      <c r="C351" s="95"/>
      <c r="D351" s="96" t="s">
        <v>830</v>
      </c>
      <c r="E351" s="96"/>
      <c r="F351" s="96" t="s">
        <v>829</v>
      </c>
      <c r="G351" s="96"/>
      <c r="H351" s="96"/>
    </row>
    <row r="352" s="67" customFormat="1" ht="22" customHeight="1" spans="1:8">
      <c r="A352" s="95">
        <v>207</v>
      </c>
      <c r="B352" s="95" t="s">
        <v>222</v>
      </c>
      <c r="C352" s="95"/>
      <c r="D352" s="96" t="s">
        <v>820</v>
      </c>
      <c r="E352" s="96"/>
      <c r="F352" s="96" t="s">
        <v>831</v>
      </c>
      <c r="G352" s="96"/>
      <c r="H352" s="96"/>
    </row>
    <row r="353" s="67" customFormat="1" ht="22" customHeight="1" spans="1:8">
      <c r="A353" s="95">
        <v>208</v>
      </c>
      <c r="B353" s="95" t="s">
        <v>222</v>
      </c>
      <c r="C353" s="95"/>
      <c r="D353" s="96" t="s">
        <v>812</v>
      </c>
      <c r="E353" s="96"/>
      <c r="F353" s="96" t="s">
        <v>832</v>
      </c>
      <c r="G353" s="96"/>
      <c r="H353" s="96"/>
    </row>
    <row r="354" s="67" customFormat="1" ht="22" customHeight="1" spans="1:8">
      <c r="A354" s="95">
        <v>209</v>
      </c>
      <c r="B354" s="95" t="s">
        <v>222</v>
      </c>
      <c r="C354" s="95"/>
      <c r="D354" s="96" t="s">
        <v>814</v>
      </c>
      <c r="E354" s="96"/>
      <c r="F354" s="96" t="s">
        <v>832</v>
      </c>
      <c r="G354" s="96"/>
      <c r="H354" s="96"/>
    </row>
    <row r="355" s="67" customFormat="1" ht="22" customHeight="1" spans="1:8">
      <c r="A355" s="95">
        <v>210</v>
      </c>
      <c r="B355" s="95" t="s">
        <v>222</v>
      </c>
      <c r="C355" s="95"/>
      <c r="D355" s="96" t="s">
        <v>815</v>
      </c>
      <c r="E355" s="96"/>
      <c r="F355" s="96" t="s">
        <v>832</v>
      </c>
      <c r="G355" s="96"/>
      <c r="H355" s="96"/>
    </row>
    <row r="356" s="67" customFormat="1" ht="22" customHeight="1" spans="1:8">
      <c r="A356" s="95">
        <v>211</v>
      </c>
      <c r="B356" s="95" t="s">
        <v>222</v>
      </c>
      <c r="C356" s="95"/>
      <c r="D356" s="96" t="s">
        <v>824</v>
      </c>
      <c r="E356" s="96"/>
      <c r="F356" s="96" t="s">
        <v>832</v>
      </c>
      <c r="G356" s="96"/>
      <c r="H356" s="96"/>
    </row>
    <row r="357" s="67" customFormat="1" ht="22" customHeight="1" spans="1:8">
      <c r="A357" s="95">
        <v>212</v>
      </c>
      <c r="B357" s="95" t="s">
        <v>222</v>
      </c>
      <c r="C357" s="95"/>
      <c r="D357" s="96" t="s">
        <v>808</v>
      </c>
      <c r="E357" s="96"/>
      <c r="F357" s="96" t="s">
        <v>832</v>
      </c>
      <c r="G357" s="96"/>
      <c r="H357" s="96"/>
    </row>
    <row r="358" s="67" customFormat="1" ht="22" customHeight="1" spans="1:8">
      <c r="A358" s="95">
        <v>213</v>
      </c>
      <c r="B358" s="95" t="s">
        <v>222</v>
      </c>
      <c r="C358" s="95"/>
      <c r="D358" s="96" t="s">
        <v>810</v>
      </c>
      <c r="E358" s="96"/>
      <c r="F358" s="96" t="s">
        <v>832</v>
      </c>
      <c r="G358" s="96"/>
      <c r="H358" s="96"/>
    </row>
    <row r="359" s="67" customFormat="1" ht="22" customHeight="1" spans="1:8">
      <c r="A359" s="95">
        <v>214</v>
      </c>
      <c r="B359" s="95" t="s">
        <v>222</v>
      </c>
      <c r="C359" s="95"/>
      <c r="D359" s="96" t="s">
        <v>833</v>
      </c>
      <c r="E359" s="96"/>
      <c r="F359" s="96" t="s">
        <v>832</v>
      </c>
      <c r="G359" s="96"/>
      <c r="H359" s="96"/>
    </row>
    <row r="360" s="67" customFormat="1" ht="22" customHeight="1" spans="1:8">
      <c r="A360" s="95">
        <v>215</v>
      </c>
      <c r="B360" s="95" t="s">
        <v>222</v>
      </c>
      <c r="C360" s="95"/>
      <c r="D360" s="96" t="s">
        <v>820</v>
      </c>
      <c r="E360" s="96"/>
      <c r="F360" s="96" t="s">
        <v>834</v>
      </c>
      <c r="G360" s="96"/>
      <c r="H360" s="96"/>
    </row>
    <row r="361" s="67" customFormat="1" ht="22" customHeight="1" spans="1:8">
      <c r="A361" s="95">
        <v>216</v>
      </c>
      <c r="B361" s="95" t="s">
        <v>222</v>
      </c>
      <c r="C361" s="95"/>
      <c r="D361" s="96" t="s">
        <v>812</v>
      </c>
      <c r="E361" s="96"/>
      <c r="F361" s="96" t="s">
        <v>835</v>
      </c>
      <c r="G361" s="96"/>
      <c r="H361" s="96"/>
    </row>
    <row r="362" s="67" customFormat="1" ht="22" customHeight="1" spans="1:8">
      <c r="A362" s="95">
        <v>217</v>
      </c>
      <c r="B362" s="95" t="s">
        <v>222</v>
      </c>
      <c r="C362" s="95"/>
      <c r="D362" s="96" t="s">
        <v>814</v>
      </c>
      <c r="E362" s="96"/>
      <c r="F362" s="96" t="s">
        <v>835</v>
      </c>
      <c r="G362" s="96"/>
      <c r="H362" s="96"/>
    </row>
    <row r="363" s="67" customFormat="1" ht="22" customHeight="1" spans="1:8">
      <c r="A363" s="95">
        <v>218</v>
      </c>
      <c r="B363" s="95" t="s">
        <v>222</v>
      </c>
      <c r="C363" s="95"/>
      <c r="D363" s="96" t="s">
        <v>815</v>
      </c>
      <c r="E363" s="96"/>
      <c r="F363" s="96" t="s">
        <v>835</v>
      </c>
      <c r="G363" s="96"/>
      <c r="H363" s="96"/>
    </row>
    <row r="364" s="67" customFormat="1" ht="22" customHeight="1" spans="1:8">
      <c r="A364" s="95">
        <v>219</v>
      </c>
      <c r="B364" s="95" t="s">
        <v>222</v>
      </c>
      <c r="C364" s="95"/>
      <c r="D364" s="96" t="s">
        <v>824</v>
      </c>
      <c r="E364" s="96"/>
      <c r="F364" s="96" t="s">
        <v>835</v>
      </c>
      <c r="G364" s="96"/>
      <c r="H364" s="96"/>
    </row>
    <row r="365" s="67" customFormat="1" ht="22" customHeight="1" spans="1:8">
      <c r="A365" s="95">
        <v>220</v>
      </c>
      <c r="B365" s="95" t="s">
        <v>222</v>
      </c>
      <c r="C365" s="95"/>
      <c r="D365" s="96" t="s">
        <v>808</v>
      </c>
      <c r="E365" s="96"/>
      <c r="F365" s="96" t="s">
        <v>835</v>
      </c>
      <c r="G365" s="96"/>
      <c r="H365" s="96"/>
    </row>
    <row r="366" s="67" customFormat="1" ht="22" customHeight="1" spans="1:8">
      <c r="A366" s="95">
        <v>221</v>
      </c>
      <c r="B366" s="95" t="s">
        <v>222</v>
      </c>
      <c r="C366" s="95"/>
      <c r="D366" s="96" t="s">
        <v>810</v>
      </c>
      <c r="E366" s="96"/>
      <c r="F366" s="96" t="s">
        <v>835</v>
      </c>
      <c r="G366" s="96"/>
      <c r="H366" s="96"/>
    </row>
    <row r="367" s="67" customFormat="1" ht="22" customHeight="1" spans="1:8">
      <c r="A367" s="95">
        <v>222</v>
      </c>
      <c r="B367" s="95" t="s">
        <v>222</v>
      </c>
      <c r="C367" s="95"/>
      <c r="D367" s="96" t="s">
        <v>836</v>
      </c>
      <c r="E367" s="96"/>
      <c r="F367" s="96" t="s">
        <v>835</v>
      </c>
      <c r="G367" s="96"/>
      <c r="H367" s="96"/>
    </row>
    <row r="368" s="67" customFormat="1" ht="22" customHeight="1" spans="1:8">
      <c r="A368" s="95">
        <v>223</v>
      </c>
      <c r="B368" s="95" t="s">
        <v>222</v>
      </c>
      <c r="C368" s="95"/>
      <c r="D368" s="96" t="s">
        <v>837</v>
      </c>
      <c r="E368" s="96"/>
      <c r="F368" s="96" t="s">
        <v>835</v>
      </c>
      <c r="G368" s="96"/>
      <c r="H368" s="96"/>
    </row>
    <row r="369" s="67" customFormat="1" ht="22" customHeight="1" spans="1:8">
      <c r="A369" s="95">
        <v>228</v>
      </c>
      <c r="B369" s="95" t="s">
        <v>222</v>
      </c>
      <c r="C369" s="95"/>
      <c r="D369" s="96" t="s">
        <v>838</v>
      </c>
      <c r="E369" s="96"/>
      <c r="F369" s="97" t="s">
        <v>38</v>
      </c>
      <c r="G369" s="96"/>
      <c r="H369" s="96"/>
    </row>
    <row r="370" s="67" customFormat="1" ht="22" customHeight="1" spans="1:8">
      <c r="A370" s="95">
        <v>229</v>
      </c>
      <c r="B370" s="95" t="s">
        <v>222</v>
      </c>
      <c r="C370" s="95"/>
      <c r="D370" s="96" t="s">
        <v>839</v>
      </c>
      <c r="E370" s="96"/>
      <c r="F370" s="97" t="s">
        <v>38</v>
      </c>
      <c r="G370" s="96"/>
      <c r="H370" s="96"/>
    </row>
    <row r="371" s="67" customFormat="1" ht="40.5" spans="1:8">
      <c r="A371" s="95">
        <v>230</v>
      </c>
      <c r="B371" s="95" t="s">
        <v>222</v>
      </c>
      <c r="C371" s="95"/>
      <c r="D371" s="96" t="s">
        <v>840</v>
      </c>
      <c r="E371" s="96"/>
      <c r="F371" s="97" t="s">
        <v>38</v>
      </c>
      <c r="G371" s="96"/>
      <c r="H371" s="96"/>
    </row>
    <row r="372" s="67" customFormat="1" ht="40.5" spans="1:8">
      <c r="A372" s="98">
        <v>232</v>
      </c>
      <c r="B372" s="98" t="s">
        <v>242</v>
      </c>
      <c r="C372" s="98"/>
      <c r="D372" s="99" t="s">
        <v>841</v>
      </c>
      <c r="E372" s="99"/>
      <c r="F372" s="100">
        <v>46142</v>
      </c>
      <c r="G372" s="99" t="s">
        <v>244</v>
      </c>
      <c r="H372" s="99"/>
    </row>
    <row r="373" s="67" customFormat="1" ht="54" spans="1:8">
      <c r="A373" s="98"/>
      <c r="B373" s="98" t="s">
        <v>242</v>
      </c>
      <c r="C373" s="98"/>
      <c r="D373" s="99" t="s">
        <v>842</v>
      </c>
      <c r="E373" s="99"/>
      <c r="F373" s="101" t="s">
        <v>38</v>
      </c>
      <c r="G373" s="99" t="s">
        <v>244</v>
      </c>
      <c r="H373" s="99"/>
    </row>
    <row r="374" s="67" customFormat="1" ht="22" customHeight="1" spans="1:8">
      <c r="A374" s="98"/>
      <c r="B374" s="98" t="s">
        <v>242</v>
      </c>
      <c r="C374" s="98"/>
      <c r="D374" s="99" t="s">
        <v>843</v>
      </c>
      <c r="E374" s="99"/>
      <c r="F374" s="100">
        <v>46142</v>
      </c>
      <c r="G374" s="99" t="s">
        <v>244</v>
      </c>
      <c r="H374" s="99"/>
    </row>
    <row r="375" s="67" customFormat="1" ht="22" customHeight="1" spans="1:8">
      <c r="A375" s="98"/>
      <c r="B375" s="98" t="s">
        <v>242</v>
      </c>
      <c r="C375" s="98"/>
      <c r="D375" s="99" t="s">
        <v>843</v>
      </c>
      <c r="E375" s="99"/>
      <c r="F375" s="100">
        <v>46173</v>
      </c>
      <c r="G375" s="99" t="s">
        <v>244</v>
      </c>
      <c r="H375" s="99"/>
    </row>
    <row r="376" s="67" customFormat="1" ht="22" customHeight="1" spans="1:8">
      <c r="A376" s="98"/>
      <c r="B376" s="98" t="s">
        <v>242</v>
      </c>
      <c r="C376" s="98"/>
      <c r="D376" s="99" t="s">
        <v>843</v>
      </c>
      <c r="E376" s="99"/>
      <c r="F376" s="100">
        <v>46203</v>
      </c>
      <c r="G376" s="99" t="s">
        <v>244</v>
      </c>
      <c r="H376" s="99"/>
    </row>
    <row r="377" s="67" customFormat="1" ht="22" customHeight="1" spans="1:8">
      <c r="A377" s="98"/>
      <c r="B377" s="98" t="s">
        <v>242</v>
      </c>
      <c r="C377" s="98"/>
      <c r="D377" s="99" t="s">
        <v>843</v>
      </c>
      <c r="E377" s="99"/>
      <c r="F377" s="100">
        <v>46234</v>
      </c>
      <c r="G377" s="99" t="s">
        <v>244</v>
      </c>
      <c r="H377" s="99"/>
    </row>
    <row r="378" s="67" customFormat="1" ht="22" customHeight="1" spans="1:8">
      <c r="A378" s="98"/>
      <c r="B378" s="98" t="s">
        <v>242</v>
      </c>
      <c r="C378" s="98"/>
      <c r="D378" s="99" t="s">
        <v>843</v>
      </c>
      <c r="E378" s="99"/>
      <c r="F378" s="100">
        <v>46265</v>
      </c>
      <c r="G378" s="99" t="s">
        <v>244</v>
      </c>
      <c r="H378" s="99"/>
    </row>
    <row r="379" s="67" customFormat="1" ht="22" customHeight="1" spans="1:8">
      <c r="A379" s="98"/>
      <c r="B379" s="98" t="s">
        <v>242</v>
      </c>
      <c r="C379" s="98"/>
      <c r="D379" s="99" t="s">
        <v>843</v>
      </c>
      <c r="E379" s="99"/>
      <c r="F379" s="100">
        <v>46295</v>
      </c>
      <c r="G379" s="99" t="s">
        <v>244</v>
      </c>
      <c r="H379" s="99"/>
    </row>
    <row r="380" s="67" customFormat="1" ht="22" customHeight="1" spans="1:8">
      <c r="A380" s="98"/>
      <c r="B380" s="98" t="s">
        <v>242</v>
      </c>
      <c r="C380" s="98"/>
      <c r="D380" s="99" t="s">
        <v>843</v>
      </c>
      <c r="E380" s="99"/>
      <c r="F380" s="100">
        <v>46326</v>
      </c>
      <c r="G380" s="99" t="s">
        <v>244</v>
      </c>
      <c r="H380" s="99"/>
    </row>
    <row r="381" s="67" customFormat="1" ht="22" customHeight="1" spans="1:8">
      <c r="A381" s="98"/>
      <c r="B381" s="98" t="s">
        <v>242</v>
      </c>
      <c r="C381" s="98"/>
      <c r="D381" s="99" t="s">
        <v>843</v>
      </c>
      <c r="E381" s="99"/>
      <c r="F381" s="100">
        <v>46356</v>
      </c>
      <c r="G381" s="99" t="s">
        <v>244</v>
      </c>
      <c r="H381" s="99"/>
    </row>
    <row r="382" s="67" customFormat="1" ht="22" customHeight="1" spans="1:8">
      <c r="A382" s="98"/>
      <c r="B382" s="98" t="s">
        <v>242</v>
      </c>
      <c r="C382" s="98"/>
      <c r="D382" s="99" t="s">
        <v>843</v>
      </c>
      <c r="E382" s="99"/>
      <c r="F382" s="100">
        <v>46387</v>
      </c>
      <c r="G382" s="99" t="s">
        <v>244</v>
      </c>
      <c r="H382" s="99"/>
    </row>
    <row r="383" s="67" customFormat="1" ht="22" customHeight="1" spans="1:8">
      <c r="A383" s="98"/>
      <c r="B383" s="98" t="s">
        <v>242</v>
      </c>
      <c r="C383" s="98"/>
      <c r="D383" s="99" t="s">
        <v>844</v>
      </c>
      <c r="E383" s="99"/>
      <c r="F383" s="100">
        <v>46203</v>
      </c>
      <c r="G383" s="99" t="s">
        <v>244</v>
      </c>
      <c r="H383" s="99"/>
    </row>
    <row r="384" s="67" customFormat="1" ht="22" customHeight="1" spans="1:8">
      <c r="A384" s="98"/>
      <c r="B384" s="98" t="s">
        <v>242</v>
      </c>
      <c r="C384" s="98"/>
      <c r="D384" s="99" t="s">
        <v>844</v>
      </c>
      <c r="E384" s="99"/>
      <c r="F384" s="100">
        <v>46203</v>
      </c>
      <c r="G384" s="99" t="s">
        <v>244</v>
      </c>
      <c r="H384" s="99"/>
    </row>
    <row r="385" s="67" customFormat="1" ht="22" customHeight="1" spans="1:8">
      <c r="A385" s="98"/>
      <c r="B385" s="98" t="s">
        <v>242</v>
      </c>
      <c r="C385" s="98"/>
      <c r="D385" s="99" t="s">
        <v>844</v>
      </c>
      <c r="E385" s="99"/>
      <c r="F385" s="100">
        <v>46203</v>
      </c>
      <c r="G385" s="99" t="s">
        <v>244</v>
      </c>
      <c r="H385" s="99"/>
    </row>
    <row r="386" s="67" customFormat="1" ht="22" customHeight="1" spans="1:8">
      <c r="A386" s="98"/>
      <c r="B386" s="98" t="s">
        <v>247</v>
      </c>
      <c r="C386" s="98"/>
      <c r="D386" s="99" t="s">
        <v>845</v>
      </c>
      <c r="E386" s="99"/>
      <c r="F386" s="99"/>
      <c r="G386" s="99" t="s">
        <v>248</v>
      </c>
      <c r="H386" s="99"/>
    </row>
    <row r="387" s="67" customFormat="1" ht="22" customHeight="1" spans="1:8">
      <c r="A387" s="98"/>
      <c r="B387" s="98" t="s">
        <v>247</v>
      </c>
      <c r="C387" s="98"/>
      <c r="D387" s="99" t="s">
        <v>846</v>
      </c>
      <c r="E387" s="99"/>
      <c r="F387" s="99"/>
      <c r="G387" s="99" t="s">
        <v>248</v>
      </c>
      <c r="H387" s="99"/>
    </row>
    <row r="388" s="67" customFormat="1" ht="22" customHeight="1" spans="1:8">
      <c r="A388" s="98"/>
      <c r="B388" s="98" t="s">
        <v>247</v>
      </c>
      <c r="C388" s="98"/>
      <c r="D388" s="99" t="s">
        <v>847</v>
      </c>
      <c r="E388" s="99"/>
      <c r="F388" s="99"/>
      <c r="G388" s="99" t="s">
        <v>248</v>
      </c>
      <c r="H388" s="99"/>
    </row>
    <row r="389" s="67" customFormat="1" ht="22" customHeight="1" spans="1:8">
      <c r="A389" s="98"/>
      <c r="B389" s="98" t="s">
        <v>247</v>
      </c>
      <c r="C389" s="98"/>
      <c r="D389" s="99" t="s">
        <v>848</v>
      </c>
      <c r="E389" s="99"/>
      <c r="F389" s="99"/>
      <c r="G389" s="99" t="s">
        <v>248</v>
      </c>
      <c r="H389" s="99"/>
    </row>
    <row r="390" s="67" customFormat="1" ht="22" customHeight="1" spans="1:8">
      <c r="A390" s="98"/>
      <c r="B390" s="98" t="s">
        <v>247</v>
      </c>
      <c r="C390" s="98"/>
      <c r="D390" s="99" t="s">
        <v>849</v>
      </c>
      <c r="E390" s="99"/>
      <c r="F390" s="99"/>
      <c r="G390" s="99" t="s">
        <v>248</v>
      </c>
      <c r="H390" s="99"/>
    </row>
    <row r="391" s="67" customFormat="1" ht="22" customHeight="1" spans="1:8">
      <c r="A391" s="98"/>
      <c r="B391" s="98" t="s">
        <v>247</v>
      </c>
      <c r="C391" s="98"/>
      <c r="D391" s="99" t="s">
        <v>850</v>
      </c>
      <c r="E391" s="99"/>
      <c r="F391" s="99"/>
      <c r="G391" s="99" t="s">
        <v>248</v>
      </c>
      <c r="H391" s="99"/>
    </row>
    <row r="392" s="67" customFormat="1" ht="22" customHeight="1" spans="1:8">
      <c r="A392" s="98"/>
      <c r="B392" s="98" t="s">
        <v>247</v>
      </c>
      <c r="C392" s="98"/>
      <c r="D392" s="99" t="s">
        <v>851</v>
      </c>
      <c r="E392" s="99"/>
      <c r="F392" s="99"/>
      <c r="G392" s="99" t="s">
        <v>248</v>
      </c>
      <c r="H392" s="99"/>
    </row>
    <row r="393" s="67" customFormat="1" ht="22" customHeight="1" spans="1:8">
      <c r="A393" s="98"/>
      <c r="B393" s="98" t="s">
        <v>247</v>
      </c>
      <c r="C393" s="98"/>
      <c r="D393" s="99" t="s">
        <v>852</v>
      </c>
      <c r="E393" s="99"/>
      <c r="F393" s="99"/>
      <c r="G393" s="99" t="s">
        <v>248</v>
      </c>
      <c r="H393" s="99"/>
    </row>
    <row r="394" s="67" customFormat="1" ht="22" customHeight="1" spans="1:8">
      <c r="A394" s="98"/>
      <c r="B394" s="98" t="s">
        <v>247</v>
      </c>
      <c r="C394" s="98"/>
      <c r="D394" s="99" t="s">
        <v>853</v>
      </c>
      <c r="E394" s="99"/>
      <c r="F394" s="99"/>
      <c r="G394" s="99" t="s">
        <v>248</v>
      </c>
      <c r="H394" s="99"/>
    </row>
    <row r="395" s="67" customFormat="1" ht="22" customHeight="1" spans="1:8">
      <c r="A395" s="98"/>
      <c r="B395" s="98" t="s">
        <v>247</v>
      </c>
      <c r="C395" s="98"/>
      <c r="D395" s="99" t="s">
        <v>854</v>
      </c>
      <c r="E395" s="99"/>
      <c r="F395" s="99"/>
      <c r="G395" s="99" t="s">
        <v>248</v>
      </c>
      <c r="H395" s="99"/>
    </row>
    <row r="396" s="67" customFormat="1" ht="22" customHeight="1" spans="1:8">
      <c r="A396" s="102">
        <v>234</v>
      </c>
      <c r="B396" s="102" t="s">
        <v>258</v>
      </c>
      <c r="C396" s="102" t="s">
        <v>471</v>
      </c>
      <c r="D396" s="103" t="s">
        <v>855</v>
      </c>
      <c r="E396" s="103"/>
      <c r="F396" s="103"/>
      <c r="G396" s="103" t="s">
        <v>260</v>
      </c>
      <c r="H396" s="103"/>
    </row>
    <row r="397" s="67" customFormat="1" ht="22" customHeight="1" spans="1:8">
      <c r="A397" s="102"/>
      <c r="B397" s="102" t="s">
        <v>258</v>
      </c>
      <c r="C397" s="102" t="s">
        <v>471</v>
      </c>
      <c r="D397" s="103" t="s">
        <v>856</v>
      </c>
      <c r="E397" s="103"/>
      <c r="F397" s="103"/>
      <c r="G397" s="103" t="s">
        <v>260</v>
      </c>
      <c r="H397" s="103"/>
    </row>
    <row r="398" s="67" customFormat="1" ht="22" customHeight="1" spans="1:8">
      <c r="A398" s="102"/>
      <c r="B398" s="102" t="s">
        <v>258</v>
      </c>
      <c r="C398" s="102" t="s">
        <v>471</v>
      </c>
      <c r="D398" s="103" t="s">
        <v>857</v>
      </c>
      <c r="E398" s="103"/>
      <c r="F398" s="103"/>
      <c r="G398" s="103" t="s">
        <v>260</v>
      </c>
      <c r="H398" s="103"/>
    </row>
    <row r="399" s="67" customFormat="1" ht="22" customHeight="1" spans="1:8">
      <c r="A399" s="102"/>
      <c r="B399" s="102" t="s">
        <v>258</v>
      </c>
      <c r="C399" s="102" t="s">
        <v>471</v>
      </c>
      <c r="D399" s="103" t="s">
        <v>858</v>
      </c>
      <c r="E399" s="103"/>
      <c r="F399" s="103"/>
      <c r="G399" s="103" t="s">
        <v>260</v>
      </c>
      <c r="H399" s="103"/>
    </row>
    <row r="400" s="67" customFormat="1" ht="22" customHeight="1" spans="1:8">
      <c r="A400" s="102"/>
      <c r="B400" s="102" t="s">
        <v>258</v>
      </c>
      <c r="C400" s="102" t="s">
        <v>493</v>
      </c>
      <c r="D400" s="103" t="s">
        <v>859</v>
      </c>
      <c r="E400" s="103"/>
      <c r="F400" s="103"/>
      <c r="G400" s="103"/>
      <c r="H400" s="103"/>
    </row>
    <row r="401" s="67" customFormat="1" ht="22" customHeight="1" spans="1:8">
      <c r="A401" s="102"/>
      <c r="B401" s="102" t="s">
        <v>258</v>
      </c>
      <c r="C401" s="102" t="s">
        <v>493</v>
      </c>
      <c r="D401" s="103" t="s">
        <v>860</v>
      </c>
      <c r="E401" s="103"/>
      <c r="F401" s="103"/>
      <c r="G401" s="103"/>
      <c r="H401" s="103"/>
    </row>
    <row r="402" s="67" customFormat="1" ht="22" customHeight="1" spans="1:8">
      <c r="A402" s="102"/>
      <c r="B402" s="102" t="s">
        <v>258</v>
      </c>
      <c r="C402" s="102" t="s">
        <v>493</v>
      </c>
      <c r="D402" s="103" t="s">
        <v>861</v>
      </c>
      <c r="E402" s="103"/>
      <c r="F402" s="103"/>
      <c r="G402" s="103"/>
      <c r="H402" s="103"/>
    </row>
    <row r="403" s="67" customFormat="1" ht="22" customHeight="1" spans="1:8">
      <c r="A403" s="102"/>
      <c r="B403" s="102" t="s">
        <v>258</v>
      </c>
      <c r="C403" s="102" t="s">
        <v>493</v>
      </c>
      <c r="D403" s="103" t="s">
        <v>862</v>
      </c>
      <c r="E403" s="103"/>
      <c r="F403" s="103"/>
      <c r="G403" s="103"/>
      <c r="H403" s="103"/>
    </row>
    <row r="404" s="67" customFormat="1" ht="22" customHeight="1" spans="1:8">
      <c r="A404" s="102"/>
      <c r="B404" s="102" t="s">
        <v>258</v>
      </c>
      <c r="C404" s="102" t="s">
        <v>493</v>
      </c>
      <c r="D404" s="103"/>
      <c r="E404" s="103"/>
      <c r="F404" s="103"/>
      <c r="G404" s="103"/>
      <c r="H404" s="103"/>
    </row>
    <row r="405" s="67" customFormat="1" ht="22" customHeight="1" spans="1:8">
      <c r="A405" s="102">
        <v>235</v>
      </c>
      <c r="B405" s="102" t="s">
        <v>258</v>
      </c>
      <c r="C405" s="102" t="s">
        <v>493</v>
      </c>
      <c r="D405" s="103" t="s">
        <v>863</v>
      </c>
      <c r="E405" s="103"/>
      <c r="F405" s="103"/>
      <c r="G405" s="103"/>
      <c r="H405" s="103"/>
    </row>
    <row r="406" s="67" customFormat="1" ht="22" customHeight="1" spans="1:8">
      <c r="A406" s="102">
        <v>236</v>
      </c>
      <c r="B406" s="102" t="s">
        <v>258</v>
      </c>
      <c r="C406" s="102" t="s">
        <v>493</v>
      </c>
      <c r="D406" s="103" t="s">
        <v>864</v>
      </c>
      <c r="E406" s="103"/>
      <c r="F406" s="103"/>
      <c r="G406" s="103"/>
      <c r="H406" s="103"/>
    </row>
    <row r="407" s="67" customFormat="1" ht="22" customHeight="1" spans="1:8">
      <c r="A407" s="102">
        <v>237</v>
      </c>
      <c r="B407" s="102" t="s">
        <v>258</v>
      </c>
      <c r="C407" s="102" t="s">
        <v>493</v>
      </c>
      <c r="D407" s="103" t="s">
        <v>865</v>
      </c>
      <c r="E407" s="103"/>
      <c r="F407" s="103"/>
      <c r="G407" s="103"/>
      <c r="H407" s="103"/>
    </row>
    <row r="408" s="67" customFormat="1" ht="22" customHeight="1" spans="1:8">
      <c r="A408" s="102">
        <v>238</v>
      </c>
      <c r="B408" s="102" t="s">
        <v>258</v>
      </c>
      <c r="C408" s="102" t="s">
        <v>493</v>
      </c>
      <c r="D408" s="103" t="s">
        <v>866</v>
      </c>
      <c r="E408" s="103"/>
      <c r="F408" s="103"/>
      <c r="G408" s="103"/>
      <c r="H408" s="103"/>
    </row>
    <row r="409" s="67" customFormat="1" spans="1:8">
      <c r="A409" s="102">
        <v>241</v>
      </c>
      <c r="B409" s="102" t="s">
        <v>258</v>
      </c>
      <c r="C409" s="102" t="s">
        <v>493</v>
      </c>
      <c r="D409" s="103" t="s">
        <v>867</v>
      </c>
      <c r="E409" s="103"/>
      <c r="F409" s="103"/>
      <c r="G409" s="103"/>
      <c r="H409" s="103"/>
    </row>
    <row r="410" s="67" customFormat="1" spans="1:8">
      <c r="A410" s="102">
        <v>241</v>
      </c>
      <c r="B410" s="102" t="s">
        <v>258</v>
      </c>
      <c r="C410" s="102" t="s">
        <v>493</v>
      </c>
      <c r="D410" s="103" t="s">
        <v>868</v>
      </c>
      <c r="E410" s="103"/>
      <c r="F410" s="103"/>
      <c r="G410" s="103"/>
      <c r="H410" s="103"/>
    </row>
    <row r="411" s="67" customFormat="1" spans="1:8">
      <c r="A411" s="102">
        <v>241</v>
      </c>
      <c r="B411" s="102" t="s">
        <v>258</v>
      </c>
      <c r="C411" s="102" t="s">
        <v>493</v>
      </c>
      <c r="D411" s="103" t="s">
        <v>869</v>
      </c>
      <c r="E411" s="103"/>
      <c r="F411" s="103"/>
      <c r="G411" s="103"/>
      <c r="H411" s="103"/>
    </row>
    <row r="412" s="67" customFormat="1" ht="27" spans="1:8">
      <c r="A412" s="102">
        <v>242</v>
      </c>
      <c r="B412" s="102" t="s">
        <v>258</v>
      </c>
      <c r="C412" s="102" t="s">
        <v>493</v>
      </c>
      <c r="D412" s="103" t="s">
        <v>870</v>
      </c>
      <c r="E412" s="103"/>
      <c r="F412" s="103"/>
      <c r="G412" s="103"/>
      <c r="H412" s="103"/>
    </row>
    <row r="413" s="67" customFormat="1" ht="27" spans="1:8">
      <c r="A413" s="102">
        <v>243</v>
      </c>
      <c r="B413" s="102" t="s">
        <v>258</v>
      </c>
      <c r="C413" s="102" t="s">
        <v>493</v>
      </c>
      <c r="D413" s="103" t="s">
        <v>871</v>
      </c>
      <c r="E413" s="103"/>
      <c r="F413" s="103"/>
      <c r="G413" s="103"/>
      <c r="H413" s="103"/>
    </row>
    <row r="414" s="67" customFormat="1" ht="22" customHeight="1" spans="1:8">
      <c r="A414" s="104">
        <v>251</v>
      </c>
      <c r="B414" s="104" t="s">
        <v>265</v>
      </c>
      <c r="C414" s="104" t="s">
        <v>471</v>
      </c>
      <c r="D414" s="105" t="s">
        <v>872</v>
      </c>
      <c r="E414" s="105"/>
      <c r="F414" s="105"/>
      <c r="G414" s="105"/>
      <c r="H414" s="105"/>
    </row>
    <row r="415" s="67" customFormat="1" ht="22" customHeight="1" spans="1:8">
      <c r="A415" s="104">
        <v>252</v>
      </c>
      <c r="B415" s="104" t="s">
        <v>265</v>
      </c>
      <c r="C415" s="104" t="s">
        <v>471</v>
      </c>
      <c r="D415" s="105" t="s">
        <v>873</v>
      </c>
      <c r="E415" s="105"/>
      <c r="F415" s="105"/>
      <c r="G415" s="105"/>
      <c r="H415" s="105"/>
    </row>
    <row r="416" s="67" customFormat="1" ht="22" customHeight="1" spans="1:8">
      <c r="A416" s="104">
        <v>253</v>
      </c>
      <c r="B416" s="104" t="s">
        <v>265</v>
      </c>
      <c r="C416" s="104" t="s">
        <v>471</v>
      </c>
      <c r="D416" s="105" t="s">
        <v>874</v>
      </c>
      <c r="E416" s="105"/>
      <c r="F416" s="105"/>
      <c r="G416" s="105"/>
      <c r="H416" s="105"/>
    </row>
    <row r="417" s="67" customFormat="1" ht="22" customHeight="1" spans="1:8">
      <c r="A417" s="104"/>
      <c r="B417" s="104" t="s">
        <v>265</v>
      </c>
      <c r="C417" s="104" t="s">
        <v>493</v>
      </c>
      <c r="D417" s="105" t="s">
        <v>875</v>
      </c>
      <c r="E417" s="105"/>
      <c r="F417" s="105"/>
      <c r="G417" s="105"/>
      <c r="H417" s="105"/>
    </row>
    <row r="418" s="67" customFormat="1" ht="22" customHeight="1" spans="1:8">
      <c r="A418" s="104"/>
      <c r="B418" s="104" t="s">
        <v>265</v>
      </c>
      <c r="C418" s="104" t="s">
        <v>493</v>
      </c>
      <c r="D418" s="105" t="s">
        <v>876</v>
      </c>
      <c r="E418" s="105"/>
      <c r="F418" s="105"/>
      <c r="G418" s="105"/>
      <c r="H418" s="10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zoomScale="120" zoomScaleNormal="120" topLeftCell="A13" workbookViewId="0">
      <selection activeCell="G61" sqref="G61"/>
    </sheetView>
  </sheetViews>
  <sheetFormatPr defaultColWidth="9.02654867256637" defaultRowHeight="13.5" outlineLevelCol="7"/>
  <cols>
    <col min="1" max="1" width="18" style="1" customWidth="1"/>
    <col min="2" max="2" width="12.5575221238938" style="24" customWidth="1"/>
    <col min="3" max="3" width="39.7610619469027" style="1" customWidth="1"/>
    <col min="4" max="4" width="12.283185840708" style="1" customWidth="1"/>
    <col min="5" max="8" width="12.283185840708" style="26" customWidth="1"/>
  </cols>
  <sheetData>
    <row r="1" spans="1:8">
      <c r="A1" s="27" t="s">
        <v>0</v>
      </c>
      <c r="B1" s="27" t="s">
        <v>1</v>
      </c>
      <c r="C1" s="27" t="s">
        <v>4</v>
      </c>
      <c r="D1" s="27" t="s">
        <v>877</v>
      </c>
      <c r="E1" s="62" t="s">
        <v>878</v>
      </c>
      <c r="F1" s="62" t="s">
        <v>879</v>
      </c>
      <c r="G1" s="62" t="s">
        <v>880</v>
      </c>
      <c r="H1" s="62" t="s">
        <v>881</v>
      </c>
    </row>
    <row r="2" spans="1:8">
      <c r="A2" s="32" t="s">
        <v>23</v>
      </c>
      <c r="B2" s="33" t="s">
        <v>24</v>
      </c>
      <c r="C2" s="32" t="s">
        <v>26</v>
      </c>
      <c r="D2" s="33" t="s">
        <v>24</v>
      </c>
      <c r="E2" s="63">
        <f>SUM(F2:H2)</f>
        <v>47.36</v>
      </c>
      <c r="F2" s="63">
        <f>'3月目标达成核算'!M2</f>
        <v>27.36</v>
      </c>
      <c r="G2" s="63">
        <v>10</v>
      </c>
      <c r="H2" s="63">
        <v>10</v>
      </c>
    </row>
    <row r="3" spans="1:8">
      <c r="A3" s="32" t="s">
        <v>23</v>
      </c>
      <c r="B3" s="33" t="s">
        <v>24</v>
      </c>
      <c r="C3" s="32" t="s">
        <v>32</v>
      </c>
      <c r="D3" s="33" t="s">
        <v>24</v>
      </c>
      <c r="E3" s="63">
        <f t="shared" ref="E3:E31" si="0">SUM(F3:H3)</f>
        <v>60.24</v>
      </c>
      <c r="F3" s="63">
        <f>'3月目标达成核算'!M3</f>
        <v>40.24</v>
      </c>
      <c r="G3" s="63">
        <v>10</v>
      </c>
      <c r="H3" s="63">
        <v>10</v>
      </c>
    </row>
    <row r="4" spans="1:8">
      <c r="A4" s="32" t="s">
        <v>23</v>
      </c>
      <c r="B4" s="33" t="s">
        <v>24</v>
      </c>
      <c r="C4" s="32" t="s">
        <v>34</v>
      </c>
      <c r="D4" s="33" t="s">
        <v>24</v>
      </c>
      <c r="E4" s="63">
        <f t="shared" si="0"/>
        <v>100</v>
      </c>
      <c r="F4" s="63">
        <f>'3月目标达成核算'!M4</f>
        <v>80</v>
      </c>
      <c r="G4" s="63">
        <v>10</v>
      </c>
      <c r="H4" s="63">
        <v>10</v>
      </c>
    </row>
    <row r="5" spans="1:8">
      <c r="A5" s="37" t="s">
        <v>23</v>
      </c>
      <c r="B5" s="33" t="s">
        <v>24</v>
      </c>
      <c r="C5" s="37" t="s">
        <v>35</v>
      </c>
      <c r="D5" s="33" t="s">
        <v>24</v>
      </c>
      <c r="E5" s="63">
        <f t="shared" si="0"/>
        <v>20</v>
      </c>
      <c r="F5" s="63">
        <f>'3月目标达成核算'!M5</f>
        <v>0</v>
      </c>
      <c r="G5" s="63">
        <v>10</v>
      </c>
      <c r="H5" s="63">
        <v>10</v>
      </c>
    </row>
    <row r="6" spans="1:8">
      <c r="A6" s="32" t="s">
        <v>23</v>
      </c>
      <c r="B6" s="33" t="s">
        <v>24</v>
      </c>
      <c r="C6" s="32" t="s">
        <v>39</v>
      </c>
      <c r="D6" s="33" t="s">
        <v>24</v>
      </c>
      <c r="E6" s="63">
        <f t="shared" si="0"/>
        <v>100</v>
      </c>
      <c r="F6" s="63">
        <f>'3月目标达成核算'!M6</f>
        <v>80</v>
      </c>
      <c r="G6" s="63">
        <v>10</v>
      </c>
      <c r="H6" s="63">
        <v>10</v>
      </c>
    </row>
    <row r="7" spans="1:8">
      <c r="A7" s="37" t="s">
        <v>23</v>
      </c>
      <c r="B7" s="33" t="s">
        <v>24</v>
      </c>
      <c r="C7" s="37" t="s">
        <v>41</v>
      </c>
      <c r="D7" s="33" t="s">
        <v>24</v>
      </c>
      <c r="E7" s="63">
        <f t="shared" si="0"/>
        <v>100</v>
      </c>
      <c r="F7" s="63">
        <f>'3月目标达成核算'!M7</f>
        <v>80</v>
      </c>
      <c r="G7" s="63">
        <v>10</v>
      </c>
      <c r="H7" s="63">
        <v>10</v>
      </c>
    </row>
    <row r="8" spans="1:8">
      <c r="A8" s="39" t="s">
        <v>42</v>
      </c>
      <c r="B8" s="40" t="s">
        <v>43</v>
      </c>
      <c r="C8" s="39" t="s">
        <v>44</v>
      </c>
      <c r="D8" s="40" t="s">
        <v>43</v>
      </c>
      <c r="E8" s="64">
        <f t="shared" si="0"/>
        <v>85.9574468085106</v>
      </c>
      <c r="F8" s="64">
        <f>'3月目标达成核算'!M8</f>
        <v>65.9574468085106</v>
      </c>
      <c r="G8" s="64">
        <v>10</v>
      </c>
      <c r="H8" s="64">
        <v>10</v>
      </c>
    </row>
    <row r="9" spans="1:8">
      <c r="A9" s="39" t="s">
        <v>42</v>
      </c>
      <c r="B9" s="40" t="s">
        <v>43</v>
      </c>
      <c r="C9" s="39" t="s">
        <v>47</v>
      </c>
      <c r="D9" s="40" t="s">
        <v>43</v>
      </c>
      <c r="E9" s="64">
        <f t="shared" si="0"/>
        <v>79.8406374501992</v>
      </c>
      <c r="F9" s="64">
        <f>'3月目标达成核算'!M9</f>
        <v>59.8406374501992</v>
      </c>
      <c r="G9" s="64">
        <v>10</v>
      </c>
      <c r="H9" s="64">
        <v>10</v>
      </c>
    </row>
    <row r="10" spans="1:8">
      <c r="A10" s="32" t="s">
        <v>49</v>
      </c>
      <c r="B10" s="33" t="s">
        <v>50</v>
      </c>
      <c r="C10" s="32" t="s">
        <v>51</v>
      </c>
      <c r="D10" s="33" t="s">
        <v>50</v>
      </c>
      <c r="E10" s="63">
        <f t="shared" si="0"/>
        <v>20</v>
      </c>
      <c r="F10" s="63">
        <f>'3月目标达成核算'!M10</f>
        <v>0</v>
      </c>
      <c r="G10" s="63">
        <v>10</v>
      </c>
      <c r="H10" s="63">
        <v>10</v>
      </c>
    </row>
    <row r="11" spans="1:8">
      <c r="A11" s="32" t="s">
        <v>49</v>
      </c>
      <c r="B11" s="33" t="s">
        <v>50</v>
      </c>
      <c r="C11" s="32" t="s">
        <v>58</v>
      </c>
      <c r="D11" s="33" t="s">
        <v>50</v>
      </c>
      <c r="E11" s="63">
        <f t="shared" si="0"/>
        <v>20</v>
      </c>
      <c r="F11" s="63">
        <f>'3月目标达成核算'!M11</f>
        <v>0</v>
      </c>
      <c r="G11" s="63">
        <v>10</v>
      </c>
      <c r="H11" s="63">
        <v>10</v>
      </c>
    </row>
    <row r="12" spans="1:8">
      <c r="A12" s="32" t="s">
        <v>49</v>
      </c>
      <c r="B12" s="33" t="s">
        <v>50</v>
      </c>
      <c r="C12" s="32" t="s">
        <v>62</v>
      </c>
      <c r="D12" s="33" t="s">
        <v>50</v>
      </c>
      <c r="E12" s="63">
        <f t="shared" si="0"/>
        <v>20</v>
      </c>
      <c r="F12" s="63">
        <f>'3月目标达成核算'!M12</f>
        <v>0</v>
      </c>
      <c r="G12" s="63">
        <v>10</v>
      </c>
      <c r="H12" s="63">
        <v>10</v>
      </c>
    </row>
    <row r="13" spans="1:8">
      <c r="A13" s="39" t="s">
        <v>66</v>
      </c>
      <c r="B13" s="40" t="s">
        <v>67</v>
      </c>
      <c r="C13" s="39" t="s">
        <v>70</v>
      </c>
      <c r="D13" s="40" t="s">
        <v>69</v>
      </c>
      <c r="E13" s="64">
        <f t="shared" si="0"/>
        <v>20</v>
      </c>
      <c r="F13" s="64">
        <f>'3月目标达成核算'!M13</f>
        <v>0</v>
      </c>
      <c r="G13" s="64">
        <v>10</v>
      </c>
      <c r="H13" s="64">
        <v>10</v>
      </c>
    </row>
    <row r="14" spans="1:8">
      <c r="A14" s="39" t="s">
        <v>66</v>
      </c>
      <c r="B14" s="40" t="s">
        <v>67</v>
      </c>
      <c r="C14" s="39" t="s">
        <v>75</v>
      </c>
      <c r="D14" s="40" t="s">
        <v>69</v>
      </c>
      <c r="E14" s="64">
        <f t="shared" si="0"/>
        <v>20</v>
      </c>
      <c r="F14" s="64">
        <f>'3月目标达成核算'!M14</f>
        <v>0</v>
      </c>
      <c r="G14" s="64">
        <v>10</v>
      </c>
      <c r="H14" s="64">
        <v>10</v>
      </c>
    </row>
    <row r="15" spans="1:8">
      <c r="A15" s="39" t="s">
        <v>66</v>
      </c>
      <c r="B15" s="40" t="s">
        <v>67</v>
      </c>
      <c r="C15" s="39" t="s">
        <v>81</v>
      </c>
      <c r="D15" s="40" t="s">
        <v>80</v>
      </c>
      <c r="E15" s="64">
        <f t="shared" si="0"/>
        <v>69.12</v>
      </c>
      <c r="F15" s="64">
        <f>'3月目标达成核算'!M15</f>
        <v>49.12</v>
      </c>
      <c r="G15" s="64">
        <v>10</v>
      </c>
      <c r="H15" s="64">
        <v>10</v>
      </c>
    </row>
    <row r="16" spans="1:8">
      <c r="A16" s="39" t="s">
        <v>66</v>
      </c>
      <c r="B16" s="40" t="s">
        <v>67</v>
      </c>
      <c r="C16" s="39" t="s">
        <v>84</v>
      </c>
      <c r="D16" s="40" t="s">
        <v>80</v>
      </c>
      <c r="E16" s="64">
        <f t="shared" si="0"/>
        <v>100</v>
      </c>
      <c r="F16" s="64">
        <f>'3月目标达成核算'!M16</f>
        <v>80</v>
      </c>
      <c r="G16" s="64">
        <v>10</v>
      </c>
      <c r="H16" s="64">
        <v>10</v>
      </c>
    </row>
    <row r="17" spans="1:8">
      <c r="A17" s="39" t="s">
        <v>66</v>
      </c>
      <c r="B17" s="40" t="s">
        <v>67</v>
      </c>
      <c r="C17" s="39" t="s">
        <v>86</v>
      </c>
      <c r="D17" s="40" t="s">
        <v>80</v>
      </c>
      <c r="E17" s="64">
        <f t="shared" si="0"/>
        <v>56.0444209413009</v>
      </c>
      <c r="F17" s="64">
        <f>'3月目标达成核算'!M17</f>
        <v>36.0444209413009</v>
      </c>
      <c r="G17" s="64">
        <v>10</v>
      </c>
      <c r="H17" s="64">
        <v>10</v>
      </c>
    </row>
    <row r="18" spans="1:8">
      <c r="A18" s="39" t="s">
        <v>66</v>
      </c>
      <c r="B18" s="40" t="s">
        <v>67</v>
      </c>
      <c r="C18" s="39" t="s">
        <v>90</v>
      </c>
      <c r="D18" s="40" t="s">
        <v>89</v>
      </c>
      <c r="E18" s="64">
        <f t="shared" si="0"/>
        <v>80</v>
      </c>
      <c r="F18" s="64">
        <f>'3月目标达成核算'!M18</f>
        <v>60</v>
      </c>
      <c r="G18" s="64">
        <v>10</v>
      </c>
      <c r="H18" s="64">
        <v>10</v>
      </c>
    </row>
    <row r="19" spans="1:8">
      <c r="A19" s="39" t="s">
        <v>66</v>
      </c>
      <c r="B19" s="40" t="s">
        <v>67</v>
      </c>
      <c r="C19" s="39" t="s">
        <v>97</v>
      </c>
      <c r="D19" s="40" t="s">
        <v>67</v>
      </c>
      <c r="E19" s="64">
        <f t="shared" si="0"/>
        <v>63.5294117647059</v>
      </c>
      <c r="F19" s="64">
        <f>'3月目标达成核算'!M19</f>
        <v>43.5294117647059</v>
      </c>
      <c r="G19" s="64">
        <v>10</v>
      </c>
      <c r="H19" s="64">
        <v>10</v>
      </c>
    </row>
    <row r="20" spans="1:8">
      <c r="A20" s="39" t="s">
        <v>66</v>
      </c>
      <c r="B20" s="40" t="s">
        <v>67</v>
      </c>
      <c r="C20" s="39" t="s">
        <v>100</v>
      </c>
      <c r="D20" s="40" t="s">
        <v>67</v>
      </c>
      <c r="E20" s="64">
        <f t="shared" si="0"/>
        <v>76.6023529411765</v>
      </c>
      <c r="F20" s="64">
        <f>'3月目标达成核算'!M20</f>
        <v>56.6023529411765</v>
      </c>
      <c r="G20" s="64">
        <v>10</v>
      </c>
      <c r="H20" s="64">
        <v>10</v>
      </c>
    </row>
    <row r="21" spans="1:8">
      <c r="A21" s="39" t="s">
        <v>66</v>
      </c>
      <c r="B21" s="40" t="s">
        <v>67</v>
      </c>
      <c r="C21" s="39" t="s">
        <v>102</v>
      </c>
      <c r="D21" s="40" t="s">
        <v>67</v>
      </c>
      <c r="E21" s="64">
        <f t="shared" si="0"/>
        <v>20</v>
      </c>
      <c r="F21" s="64">
        <f>'3月目标达成核算'!M21</f>
        <v>0</v>
      </c>
      <c r="G21" s="64">
        <v>10</v>
      </c>
      <c r="H21" s="64">
        <v>10</v>
      </c>
    </row>
    <row r="22" spans="1:8">
      <c r="A22" s="39" t="s">
        <v>66</v>
      </c>
      <c r="B22" s="40" t="s">
        <v>67</v>
      </c>
      <c r="C22" s="39" t="s">
        <v>104</v>
      </c>
      <c r="D22" s="40" t="s">
        <v>67</v>
      </c>
      <c r="E22" s="64">
        <f t="shared" si="0"/>
        <v>39.6009800490025</v>
      </c>
      <c r="F22" s="64">
        <f>'3月目标达成核算'!M22</f>
        <v>19.6009800490025</v>
      </c>
      <c r="G22" s="64">
        <v>10</v>
      </c>
      <c r="H22" s="64">
        <v>10</v>
      </c>
    </row>
    <row r="23" spans="1:8">
      <c r="A23" s="39" t="s">
        <v>66</v>
      </c>
      <c r="B23" s="40" t="s">
        <v>67</v>
      </c>
      <c r="C23" s="39" t="s">
        <v>106</v>
      </c>
      <c r="D23" s="40" t="s">
        <v>67</v>
      </c>
      <c r="E23" s="64">
        <f t="shared" si="0"/>
        <v>53.5932813437313</v>
      </c>
      <c r="F23" s="64">
        <f>'3月目标达成核算'!M23</f>
        <v>33.5932813437313</v>
      </c>
      <c r="G23" s="64">
        <v>10</v>
      </c>
      <c r="H23" s="64">
        <v>10</v>
      </c>
    </row>
    <row r="24" spans="1:8">
      <c r="A24" s="39" t="s">
        <v>66</v>
      </c>
      <c r="B24" s="40" t="s">
        <v>67</v>
      </c>
      <c r="C24" s="39" t="s">
        <v>107</v>
      </c>
      <c r="D24" s="40" t="s">
        <v>67</v>
      </c>
      <c r="E24" s="64">
        <f t="shared" si="0"/>
        <v>42.4</v>
      </c>
      <c r="F24" s="64">
        <f>'3月目标达成核算'!M24</f>
        <v>22.4</v>
      </c>
      <c r="G24" s="64">
        <v>10</v>
      </c>
      <c r="H24" s="64">
        <v>10</v>
      </c>
    </row>
    <row r="25" spans="1:8">
      <c r="A25" s="39" t="s">
        <v>66</v>
      </c>
      <c r="B25" s="40" t="s">
        <v>67</v>
      </c>
      <c r="C25" s="39" t="s">
        <v>110</v>
      </c>
      <c r="D25" s="40" t="s">
        <v>43</v>
      </c>
      <c r="E25" s="64">
        <f t="shared" si="0"/>
        <v>20</v>
      </c>
      <c r="F25" s="64">
        <f>'3月目标达成核算'!M25</f>
        <v>0</v>
      </c>
      <c r="G25" s="64">
        <v>10</v>
      </c>
      <c r="H25" s="64">
        <v>10</v>
      </c>
    </row>
    <row r="26" spans="1:8">
      <c r="A26" s="39" t="s">
        <v>66</v>
      </c>
      <c r="B26" s="40" t="s">
        <v>67</v>
      </c>
      <c r="C26" s="39" t="s">
        <v>114</v>
      </c>
      <c r="D26" s="40" t="s">
        <v>43</v>
      </c>
      <c r="E26" s="64">
        <f t="shared" si="0"/>
        <v>20</v>
      </c>
      <c r="F26" s="64">
        <f>'3月目标达成核算'!M26</f>
        <v>0</v>
      </c>
      <c r="G26" s="64">
        <v>10</v>
      </c>
      <c r="H26" s="64">
        <v>10</v>
      </c>
    </row>
    <row r="27" spans="1:8">
      <c r="A27" s="39" t="s">
        <v>66</v>
      </c>
      <c r="B27" s="40" t="s">
        <v>67</v>
      </c>
      <c r="C27" s="39" t="s">
        <v>118</v>
      </c>
      <c r="D27" s="40" t="s">
        <v>43</v>
      </c>
      <c r="E27" s="64">
        <f t="shared" si="0"/>
        <v>20</v>
      </c>
      <c r="F27" s="64">
        <f>'3月目标达成核算'!M27</f>
        <v>0</v>
      </c>
      <c r="G27" s="64">
        <v>10</v>
      </c>
      <c r="H27" s="64">
        <v>10</v>
      </c>
    </row>
    <row r="28" spans="1:8">
      <c r="A28" s="39" t="s">
        <v>66</v>
      </c>
      <c r="B28" s="40" t="s">
        <v>67</v>
      </c>
      <c r="C28" s="39" t="s">
        <v>122</v>
      </c>
      <c r="D28" s="40" t="s">
        <v>43</v>
      </c>
      <c r="E28" s="64">
        <f t="shared" si="0"/>
        <v>20</v>
      </c>
      <c r="F28" s="64">
        <f>'3月目标达成核算'!M28</f>
        <v>0</v>
      </c>
      <c r="G28" s="64">
        <v>10</v>
      </c>
      <c r="H28" s="64">
        <v>10</v>
      </c>
    </row>
    <row r="29" spans="1:8">
      <c r="A29" s="39" t="s">
        <v>66</v>
      </c>
      <c r="B29" s="40" t="s">
        <v>67</v>
      </c>
      <c r="C29" s="39" t="s">
        <v>124</v>
      </c>
      <c r="D29" s="40" t="s">
        <v>43</v>
      </c>
      <c r="E29" s="64">
        <f t="shared" si="0"/>
        <v>20</v>
      </c>
      <c r="F29" s="64">
        <f>'3月目标达成核算'!M29</f>
        <v>0</v>
      </c>
      <c r="G29" s="64">
        <v>10</v>
      </c>
      <c r="H29" s="64">
        <v>10</v>
      </c>
    </row>
    <row r="30" spans="1:8">
      <c r="A30" s="37" t="s">
        <v>125</v>
      </c>
      <c r="B30" s="38" t="s">
        <v>69</v>
      </c>
      <c r="C30" s="37" t="s">
        <v>127</v>
      </c>
      <c r="D30" s="38" t="s">
        <v>69</v>
      </c>
      <c r="E30" s="65">
        <f t="shared" si="0"/>
        <v>20</v>
      </c>
      <c r="F30" s="65">
        <f>'3月目标达成核算'!M30</f>
        <v>0</v>
      </c>
      <c r="G30" s="65">
        <v>10</v>
      </c>
      <c r="H30" s="65">
        <v>10</v>
      </c>
    </row>
    <row r="31" spans="1:8">
      <c r="A31" s="37" t="s">
        <v>125</v>
      </c>
      <c r="B31" s="38" t="s">
        <v>69</v>
      </c>
      <c r="C31" s="37" t="s">
        <v>141</v>
      </c>
      <c r="D31" s="38" t="s">
        <v>69</v>
      </c>
      <c r="E31" s="65">
        <f t="shared" si="0"/>
        <v>20</v>
      </c>
      <c r="F31" s="65">
        <f>'3月目标达成核算'!M31</f>
        <v>0</v>
      </c>
      <c r="G31" s="65">
        <v>10</v>
      </c>
      <c r="H31" s="65">
        <v>10</v>
      </c>
    </row>
    <row r="32" spans="1:8">
      <c r="A32" s="37" t="s">
        <v>125</v>
      </c>
      <c r="B32" s="38" t="s">
        <v>69</v>
      </c>
      <c r="C32" s="37" t="s">
        <v>145</v>
      </c>
      <c r="D32" s="38" t="s">
        <v>69</v>
      </c>
      <c r="E32" s="65">
        <f t="shared" ref="E32:E42" si="1">SUM(F32:H32)</f>
        <v>20</v>
      </c>
      <c r="F32" s="65">
        <f>'3月目标达成核算'!M32</f>
        <v>0</v>
      </c>
      <c r="G32" s="65">
        <v>10</v>
      </c>
      <c r="H32" s="65">
        <v>10</v>
      </c>
    </row>
    <row r="33" spans="1:8">
      <c r="A33" s="66" t="s">
        <v>125</v>
      </c>
      <c r="B33" s="38" t="s">
        <v>69</v>
      </c>
      <c r="C33" s="66" t="s">
        <v>150</v>
      </c>
      <c r="D33" s="38" t="s">
        <v>69</v>
      </c>
      <c r="E33" s="65">
        <f t="shared" si="1"/>
        <v>20</v>
      </c>
      <c r="F33" s="65">
        <f>'3月目标达成核算'!M33</f>
        <v>0</v>
      </c>
      <c r="G33" s="65">
        <v>10</v>
      </c>
      <c r="H33" s="65">
        <v>10</v>
      </c>
    </row>
    <row r="34" spans="1:8">
      <c r="A34" s="66" t="s">
        <v>125</v>
      </c>
      <c r="B34" s="38" t="s">
        <v>69</v>
      </c>
      <c r="C34" s="66" t="s">
        <v>882</v>
      </c>
      <c r="D34" s="38" t="s">
        <v>69</v>
      </c>
      <c r="E34" s="65">
        <f t="shared" si="1"/>
        <v>20</v>
      </c>
      <c r="F34" s="65">
        <f>'3月目标达成核算'!M34</f>
        <v>0</v>
      </c>
      <c r="G34" s="65">
        <v>10</v>
      </c>
      <c r="H34" s="65">
        <v>10</v>
      </c>
    </row>
    <row r="35" spans="1:8">
      <c r="A35" s="66" t="s">
        <v>125</v>
      </c>
      <c r="B35" s="38" t="s">
        <v>69</v>
      </c>
      <c r="C35" s="66" t="s">
        <v>883</v>
      </c>
      <c r="D35" s="38" t="s">
        <v>69</v>
      </c>
      <c r="E35" s="65">
        <f t="shared" si="1"/>
        <v>20</v>
      </c>
      <c r="F35" s="65">
        <f>'3月目标达成核算'!M35</f>
        <v>0</v>
      </c>
      <c r="G35" s="65">
        <v>10</v>
      </c>
      <c r="H35" s="65">
        <v>10</v>
      </c>
    </row>
    <row r="36" spans="1:8">
      <c r="A36" s="39" t="s">
        <v>163</v>
      </c>
      <c r="B36" s="40" t="s">
        <v>69</v>
      </c>
      <c r="C36" s="39" t="s">
        <v>164</v>
      </c>
      <c r="D36" s="40" t="s">
        <v>69</v>
      </c>
      <c r="E36" s="64">
        <f t="shared" si="1"/>
        <v>20</v>
      </c>
      <c r="F36" s="64">
        <f>'3月目标达成核算'!M36</f>
        <v>0</v>
      </c>
      <c r="G36" s="64">
        <v>10</v>
      </c>
      <c r="H36" s="64">
        <v>10</v>
      </c>
    </row>
    <row r="37" spans="1:8">
      <c r="A37" s="39" t="s">
        <v>163</v>
      </c>
      <c r="B37" s="40" t="s">
        <v>69</v>
      </c>
      <c r="C37" s="39" t="s">
        <v>168</v>
      </c>
      <c r="D37" s="40" t="s">
        <v>69</v>
      </c>
      <c r="E37" s="64">
        <f t="shared" si="1"/>
        <v>20</v>
      </c>
      <c r="F37" s="64">
        <f>'3月目标达成核算'!M37</f>
        <v>0</v>
      </c>
      <c r="G37" s="64">
        <v>10</v>
      </c>
      <c r="H37" s="64">
        <v>10</v>
      </c>
    </row>
    <row r="38" spans="1:8">
      <c r="A38" s="32" t="s">
        <v>180</v>
      </c>
      <c r="B38" s="33" t="s">
        <v>181</v>
      </c>
      <c r="C38" s="32" t="s">
        <v>182</v>
      </c>
      <c r="D38" s="33" t="s">
        <v>181</v>
      </c>
      <c r="E38" s="63">
        <f t="shared" si="1"/>
        <v>20</v>
      </c>
      <c r="F38" s="63">
        <f>'3月目标达成核算'!M38</f>
        <v>0</v>
      </c>
      <c r="G38" s="63">
        <v>10</v>
      </c>
      <c r="H38" s="63">
        <v>10</v>
      </c>
    </row>
    <row r="39" spans="1:8">
      <c r="A39" s="32" t="s">
        <v>180</v>
      </c>
      <c r="B39" s="33" t="s">
        <v>181</v>
      </c>
      <c r="C39" s="32" t="s">
        <v>191</v>
      </c>
      <c r="D39" s="33" t="s">
        <v>181</v>
      </c>
      <c r="E39" s="63">
        <f t="shared" si="1"/>
        <v>20</v>
      </c>
      <c r="F39" s="63">
        <f>'3月目标达成核算'!M39</f>
        <v>0</v>
      </c>
      <c r="G39" s="63">
        <v>10</v>
      </c>
      <c r="H39" s="63">
        <v>10</v>
      </c>
    </row>
    <row r="40" spans="1:8">
      <c r="A40" s="39" t="s">
        <v>199</v>
      </c>
      <c r="B40" s="40" t="s">
        <v>89</v>
      </c>
      <c r="C40" s="39" t="s">
        <v>202</v>
      </c>
      <c r="D40" s="40" t="s">
        <v>201</v>
      </c>
      <c r="E40" s="64">
        <f t="shared" si="1"/>
        <v>71.0666666666667</v>
      </c>
      <c r="F40" s="64">
        <f>'3月目标达成核算'!M40</f>
        <v>51.0666666666667</v>
      </c>
      <c r="G40" s="64">
        <v>10</v>
      </c>
      <c r="H40" s="64">
        <v>10</v>
      </c>
    </row>
    <row r="41" spans="1:8">
      <c r="A41" s="39" t="s">
        <v>199</v>
      </c>
      <c r="B41" s="40" t="s">
        <v>89</v>
      </c>
      <c r="C41" s="39" t="s">
        <v>205</v>
      </c>
      <c r="D41" s="40" t="s">
        <v>201</v>
      </c>
      <c r="E41" s="64">
        <f t="shared" si="1"/>
        <v>80.016</v>
      </c>
      <c r="F41" s="64">
        <f>'3月目标达成核算'!M41</f>
        <v>60.016</v>
      </c>
      <c r="G41" s="64">
        <v>10</v>
      </c>
      <c r="H41" s="64">
        <v>10</v>
      </c>
    </row>
    <row r="42" spans="1:8">
      <c r="A42" s="39" t="s">
        <v>199</v>
      </c>
      <c r="B42" s="40" t="s">
        <v>89</v>
      </c>
      <c r="C42" s="39" t="s">
        <v>208</v>
      </c>
      <c r="D42" s="40" t="s">
        <v>89</v>
      </c>
      <c r="E42" s="64">
        <f t="shared" si="1"/>
        <v>97.5083906464924</v>
      </c>
      <c r="F42" s="64">
        <f>'3月目标达成核算'!M42</f>
        <v>77.5083906464924</v>
      </c>
      <c r="G42" s="64">
        <v>10</v>
      </c>
      <c r="H42" s="64">
        <v>10</v>
      </c>
    </row>
    <row r="43" spans="1:8">
      <c r="A43" s="39" t="s">
        <v>199</v>
      </c>
      <c r="B43" s="40" t="s">
        <v>89</v>
      </c>
      <c r="C43" s="39" t="s">
        <v>211</v>
      </c>
      <c r="D43" s="40" t="s">
        <v>89</v>
      </c>
      <c r="E43" s="64">
        <f t="shared" ref="E43:E50" si="2">SUM(F43:H43)</f>
        <v>45.9393939393939</v>
      </c>
      <c r="F43" s="64">
        <f>'3月目标达成核算'!M43</f>
        <v>25.9393939393939</v>
      </c>
      <c r="G43" s="64">
        <v>10</v>
      </c>
      <c r="H43" s="64">
        <v>10</v>
      </c>
    </row>
    <row r="44" spans="1:8">
      <c r="A44" s="39" t="s">
        <v>199</v>
      </c>
      <c r="B44" s="40" t="s">
        <v>89</v>
      </c>
      <c r="C44" s="39" t="s">
        <v>213</v>
      </c>
      <c r="D44" s="40" t="s">
        <v>89</v>
      </c>
      <c r="E44" s="64">
        <f t="shared" si="2"/>
        <v>73.8155440414508</v>
      </c>
      <c r="F44" s="64">
        <f>'3月目标达成核算'!M44</f>
        <v>53.8155440414508</v>
      </c>
      <c r="G44" s="64">
        <v>10</v>
      </c>
      <c r="H44" s="64">
        <v>10</v>
      </c>
    </row>
    <row r="45" spans="1:8">
      <c r="A45" s="39" t="s">
        <v>199</v>
      </c>
      <c r="B45" s="40" t="s">
        <v>89</v>
      </c>
      <c r="C45" s="39" t="s">
        <v>215</v>
      </c>
      <c r="D45" s="40" t="s">
        <v>89</v>
      </c>
      <c r="E45" s="64">
        <f t="shared" si="2"/>
        <v>36.9391796322489</v>
      </c>
      <c r="F45" s="64">
        <f>'3月目标达成核算'!M45</f>
        <v>16.9391796322489</v>
      </c>
      <c r="G45" s="64">
        <v>10</v>
      </c>
      <c r="H45" s="64">
        <v>10</v>
      </c>
    </row>
    <row r="46" spans="1:8">
      <c r="A46" s="32" t="s">
        <v>217</v>
      </c>
      <c r="B46" s="33" t="s">
        <v>218</v>
      </c>
      <c r="C46" s="32" t="s">
        <v>219</v>
      </c>
      <c r="D46" s="33" t="s">
        <v>218</v>
      </c>
      <c r="E46" s="63">
        <f t="shared" si="2"/>
        <v>60.4394481349004</v>
      </c>
      <c r="F46" s="63">
        <f>'3月目标达成核算'!M46</f>
        <v>40.4394481349004</v>
      </c>
      <c r="G46" s="63">
        <v>10</v>
      </c>
      <c r="H46" s="63">
        <v>10</v>
      </c>
    </row>
    <row r="47" spans="1:8">
      <c r="A47" s="39" t="s">
        <v>222</v>
      </c>
      <c r="B47" s="40" t="s">
        <v>223</v>
      </c>
      <c r="C47" s="39" t="s">
        <v>225</v>
      </c>
      <c r="D47" s="40" t="s">
        <v>223</v>
      </c>
      <c r="E47" s="64">
        <f t="shared" si="2"/>
        <v>20</v>
      </c>
      <c r="F47" s="64">
        <f>'3月目标达成核算'!M47</f>
        <v>0</v>
      </c>
      <c r="G47" s="64">
        <v>10</v>
      </c>
      <c r="H47" s="64">
        <v>10</v>
      </c>
    </row>
    <row r="48" spans="1:8">
      <c r="A48" s="39" t="s">
        <v>222</v>
      </c>
      <c r="B48" s="40" t="s">
        <v>223</v>
      </c>
      <c r="C48" s="39" t="s">
        <v>228</v>
      </c>
      <c r="D48" s="40" t="s">
        <v>43</v>
      </c>
      <c r="E48" s="64">
        <f t="shared" ref="E48:E60" si="3">SUM(F48:H48)</f>
        <v>36</v>
      </c>
      <c r="F48" s="64">
        <f>'3月目标达成核算'!M48</f>
        <v>16</v>
      </c>
      <c r="G48" s="64">
        <v>10</v>
      </c>
      <c r="H48" s="64">
        <v>10</v>
      </c>
    </row>
    <row r="49" spans="1:8">
      <c r="A49" s="39" t="s">
        <v>222</v>
      </c>
      <c r="B49" s="40" t="s">
        <v>223</v>
      </c>
      <c r="C49" s="39" t="s">
        <v>231</v>
      </c>
      <c r="D49" s="40" t="s">
        <v>43</v>
      </c>
      <c r="E49" s="64">
        <f t="shared" si="3"/>
        <v>36</v>
      </c>
      <c r="F49" s="64">
        <f>'3月目标达成核算'!M49</f>
        <v>16</v>
      </c>
      <c r="G49" s="64">
        <v>10</v>
      </c>
      <c r="H49" s="64">
        <v>10</v>
      </c>
    </row>
    <row r="50" spans="1:8">
      <c r="A50" s="39" t="s">
        <v>222</v>
      </c>
      <c r="B50" s="40" t="s">
        <v>223</v>
      </c>
      <c r="C50" s="39" t="s">
        <v>233</v>
      </c>
      <c r="D50" s="40" t="s">
        <v>43</v>
      </c>
      <c r="E50" s="64">
        <f t="shared" si="3"/>
        <v>36</v>
      </c>
      <c r="F50" s="64">
        <f>'3月目标达成核算'!M50</f>
        <v>16</v>
      </c>
      <c r="G50" s="64">
        <v>10</v>
      </c>
      <c r="H50" s="64">
        <v>10</v>
      </c>
    </row>
    <row r="51" spans="1:8">
      <c r="A51" s="39" t="s">
        <v>222</v>
      </c>
      <c r="B51" s="40" t="s">
        <v>223</v>
      </c>
      <c r="C51" s="39" t="s">
        <v>234</v>
      </c>
      <c r="D51" s="40" t="s">
        <v>43</v>
      </c>
      <c r="E51" s="64">
        <f t="shared" si="3"/>
        <v>20</v>
      </c>
      <c r="F51" s="64">
        <f>'3月目标达成核算'!M51</f>
        <v>0</v>
      </c>
      <c r="G51" s="64">
        <v>10</v>
      </c>
      <c r="H51" s="64">
        <v>10</v>
      </c>
    </row>
    <row r="52" spans="1:8">
      <c r="A52" s="39" t="s">
        <v>222</v>
      </c>
      <c r="B52" s="40" t="s">
        <v>223</v>
      </c>
      <c r="C52" s="39" t="s">
        <v>236</v>
      </c>
      <c r="D52" s="40" t="s">
        <v>43</v>
      </c>
      <c r="E52" s="64">
        <f t="shared" si="3"/>
        <v>20</v>
      </c>
      <c r="F52" s="64">
        <f>'3月目标达成核算'!M52</f>
        <v>0</v>
      </c>
      <c r="G52" s="64">
        <v>10</v>
      </c>
      <c r="H52" s="64">
        <v>10</v>
      </c>
    </row>
    <row r="53" spans="1:8">
      <c r="A53" s="39" t="s">
        <v>222</v>
      </c>
      <c r="B53" s="40" t="s">
        <v>223</v>
      </c>
      <c r="C53" s="39" t="s">
        <v>237</v>
      </c>
      <c r="D53" s="40" t="s">
        <v>43</v>
      </c>
      <c r="E53" s="64">
        <f t="shared" si="3"/>
        <v>20</v>
      </c>
      <c r="F53" s="64">
        <f>'3月目标达成核算'!M53</f>
        <v>0</v>
      </c>
      <c r="G53" s="64">
        <v>10</v>
      </c>
      <c r="H53" s="64">
        <v>10</v>
      </c>
    </row>
    <row r="54" spans="1:8">
      <c r="A54" s="39" t="s">
        <v>222</v>
      </c>
      <c r="B54" s="40" t="s">
        <v>223</v>
      </c>
      <c r="C54" s="39" t="s">
        <v>238</v>
      </c>
      <c r="D54" s="40" t="s">
        <v>43</v>
      </c>
      <c r="E54" s="64">
        <f t="shared" si="3"/>
        <v>20</v>
      </c>
      <c r="F54" s="64">
        <f>'3月目标达成核算'!M54</f>
        <v>0</v>
      </c>
      <c r="G54" s="64">
        <v>10</v>
      </c>
      <c r="H54" s="64">
        <v>10</v>
      </c>
    </row>
    <row r="55" spans="1:8">
      <c r="A55" s="39" t="s">
        <v>222</v>
      </c>
      <c r="B55" s="40" t="s">
        <v>223</v>
      </c>
      <c r="C55" s="39" t="s">
        <v>240</v>
      </c>
      <c r="D55" s="40" t="s">
        <v>43</v>
      </c>
      <c r="E55" s="64">
        <f t="shared" si="3"/>
        <v>20</v>
      </c>
      <c r="F55" s="64">
        <f>'3月目标达成核算'!M55</f>
        <v>0</v>
      </c>
      <c r="G55" s="64">
        <v>10</v>
      </c>
      <c r="H55" s="64">
        <v>10</v>
      </c>
    </row>
    <row r="56" spans="1:8">
      <c r="A56" s="39" t="s">
        <v>222</v>
      </c>
      <c r="B56" s="40" t="s">
        <v>223</v>
      </c>
      <c r="C56" s="39" t="s">
        <v>241</v>
      </c>
      <c r="D56" s="40" t="s">
        <v>43</v>
      </c>
      <c r="E56" s="64">
        <f t="shared" si="3"/>
        <v>20</v>
      </c>
      <c r="F56" s="64">
        <f>'3月目标达成核算'!M56</f>
        <v>0</v>
      </c>
      <c r="G56" s="64">
        <v>10</v>
      </c>
      <c r="H56" s="64">
        <v>10</v>
      </c>
    </row>
    <row r="57" spans="1:8">
      <c r="A57" s="60" t="s">
        <v>242</v>
      </c>
      <c r="B57" s="60" t="s">
        <v>243</v>
      </c>
      <c r="C57" s="61" t="s">
        <v>244</v>
      </c>
      <c r="D57" s="60" t="s">
        <v>243</v>
      </c>
      <c r="E57" s="63">
        <f t="shared" si="3"/>
        <v>20</v>
      </c>
      <c r="F57" s="63">
        <f>'3月目标达成核算'!M57</f>
        <v>0</v>
      </c>
      <c r="G57" s="63">
        <v>10</v>
      </c>
      <c r="H57" s="63">
        <v>10</v>
      </c>
    </row>
    <row r="58" spans="1:8">
      <c r="A58" s="39" t="s">
        <v>247</v>
      </c>
      <c r="B58" s="40" t="s">
        <v>243</v>
      </c>
      <c r="C58" s="39" t="s">
        <v>248</v>
      </c>
      <c r="D58" s="40" t="s">
        <v>243</v>
      </c>
      <c r="E58" s="64">
        <f t="shared" si="3"/>
        <v>20</v>
      </c>
      <c r="F58" s="64">
        <f>'3月目标达成核算'!M58</f>
        <v>0</v>
      </c>
      <c r="G58" s="64">
        <v>10</v>
      </c>
      <c r="H58" s="64">
        <v>10</v>
      </c>
    </row>
    <row r="59" spans="1:8">
      <c r="A59" s="32" t="s">
        <v>258</v>
      </c>
      <c r="B59" s="33" t="s">
        <v>259</v>
      </c>
      <c r="C59" s="32" t="s">
        <v>260</v>
      </c>
      <c r="D59" s="33" t="s">
        <v>259</v>
      </c>
      <c r="E59" s="63">
        <f t="shared" si="3"/>
        <v>20</v>
      </c>
      <c r="F59" s="63">
        <f>'3月目标达成核算'!M59</f>
        <v>0</v>
      </c>
      <c r="G59" s="63">
        <v>10</v>
      </c>
      <c r="H59" s="63">
        <v>10</v>
      </c>
    </row>
    <row r="60" spans="1:8">
      <c r="A60" s="39" t="s">
        <v>265</v>
      </c>
      <c r="B60" s="40" t="s">
        <v>259</v>
      </c>
      <c r="C60" s="39" t="s">
        <v>266</v>
      </c>
      <c r="D60" s="40" t="s">
        <v>259</v>
      </c>
      <c r="E60" s="64">
        <f t="shared" si="3"/>
        <v>20</v>
      </c>
      <c r="F60" s="64">
        <f>'3月目标达成核算'!M60</f>
        <v>0</v>
      </c>
      <c r="G60" s="64">
        <v>10</v>
      </c>
      <c r="H60" s="64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opLeftCell="D1" workbookViewId="0">
      <pane ySplit="1" topLeftCell="A56" activePane="bottomLeft" state="frozen"/>
      <selection/>
      <selection pane="bottomLeft" activeCell="E59" sqref="E59"/>
    </sheetView>
  </sheetViews>
  <sheetFormatPr defaultColWidth="9" defaultRowHeight="11.25"/>
  <cols>
    <col min="1" max="1" width="14.6725663716814" style="1" customWidth="1"/>
    <col min="2" max="2" width="10.5575221238938" style="24" customWidth="1"/>
    <col min="3" max="3" width="20.5132743362832" style="1" customWidth="1"/>
    <col min="4" max="4" width="12.283185840708" style="1" customWidth="1"/>
    <col min="5" max="5" width="39.4336283185841" style="1" customWidth="1"/>
    <col min="6" max="7" width="13.4778761061947" style="25" customWidth="1"/>
    <col min="8" max="8" width="16.3362831858407" style="2" customWidth="1"/>
    <col min="9" max="9" width="15.141592920354" style="1" customWidth="1"/>
    <col min="10" max="11" width="11.7522123893805" style="1" customWidth="1"/>
    <col min="12" max="12" width="11.7522123893805" style="25" customWidth="1"/>
    <col min="13" max="13" width="11.7522123893805" style="26" customWidth="1"/>
    <col min="14" max="16384" width="9" style="1"/>
  </cols>
  <sheetData>
    <row r="1" s="1" customFormat="1" ht="25" customHeight="1" spans="1:13">
      <c r="A1" s="27" t="s">
        <v>0</v>
      </c>
      <c r="B1" s="27" t="s">
        <v>1</v>
      </c>
      <c r="C1" s="27" t="s">
        <v>4</v>
      </c>
      <c r="D1" s="27" t="s">
        <v>877</v>
      </c>
      <c r="E1" s="28" t="s">
        <v>5</v>
      </c>
      <c r="F1" s="27" t="s">
        <v>6</v>
      </c>
      <c r="G1" s="27" t="s">
        <v>884</v>
      </c>
      <c r="H1" s="29" t="s">
        <v>12</v>
      </c>
      <c r="I1" s="27" t="s">
        <v>885</v>
      </c>
      <c r="J1" s="30" t="s">
        <v>13</v>
      </c>
      <c r="K1" s="27" t="s">
        <v>886</v>
      </c>
      <c r="L1" s="27" t="s">
        <v>887</v>
      </c>
      <c r="M1" s="31" t="s">
        <v>888</v>
      </c>
    </row>
    <row r="2" s="20" customFormat="1" ht="52" customHeight="1" spans="1:13">
      <c r="A2" s="32" t="s">
        <v>23</v>
      </c>
      <c r="B2" s="33" t="s">
        <v>24</v>
      </c>
      <c r="C2" s="32" t="s">
        <v>26</v>
      </c>
      <c r="D2" s="33" t="s">
        <v>24</v>
      </c>
      <c r="E2" s="32" t="s">
        <v>27</v>
      </c>
      <c r="F2" s="33" t="s">
        <v>28</v>
      </c>
      <c r="G2" s="33">
        <v>1.83</v>
      </c>
      <c r="H2" s="32">
        <v>400</v>
      </c>
      <c r="I2" s="34">
        <f t="shared" ref="I2:I7" si="0">K2/H2</f>
        <v>0.004275</v>
      </c>
      <c r="J2" s="33">
        <v>5</v>
      </c>
      <c r="K2" s="33">
        <v>1.71</v>
      </c>
      <c r="L2" s="35">
        <f t="shared" ref="L2:L7" si="1">K2/J2</f>
        <v>0.342</v>
      </c>
      <c r="M2" s="36">
        <f>IF(L2&gt;=1.5,80,IF(L2&gt;=1,60+(L2-1)/0.5*20,IF(L2&gt;=0.5,40+(L2-0.5)/0.5*20,L2/0.5*40)))</f>
        <v>27.36</v>
      </c>
    </row>
    <row r="3" s="20" customFormat="1" ht="52" customHeight="1" spans="1:13">
      <c r="A3" s="32" t="s">
        <v>23</v>
      </c>
      <c r="B3" s="33" t="s">
        <v>24</v>
      </c>
      <c r="C3" s="32" t="s">
        <v>32</v>
      </c>
      <c r="D3" s="33" t="s">
        <v>24</v>
      </c>
      <c r="E3" s="37" t="s">
        <v>33</v>
      </c>
      <c r="F3" s="38" t="s">
        <v>28</v>
      </c>
      <c r="G3" s="33">
        <v>1.88</v>
      </c>
      <c r="H3" s="32">
        <v>400</v>
      </c>
      <c r="I3" s="34">
        <f t="shared" si="0"/>
        <v>0.006325</v>
      </c>
      <c r="J3" s="33">
        <v>5</v>
      </c>
      <c r="K3" s="33">
        <v>2.53</v>
      </c>
      <c r="L3" s="35">
        <f t="shared" si="1"/>
        <v>0.506</v>
      </c>
      <c r="M3" s="36">
        <f t="shared" ref="M3:M9" si="2">IF(L3&gt;=1.5,80,IF(L3&gt;=1,60+(L3-1)/0.5*20,IF(L3&gt;=0.5,40+(L3-0.5)/0.5*20,L3/0.5*40)))</f>
        <v>40.24</v>
      </c>
    </row>
    <row r="4" s="20" customFormat="1" ht="52" customHeight="1" spans="1:13">
      <c r="A4" s="32" t="s">
        <v>23</v>
      </c>
      <c r="B4" s="33" t="s">
        <v>24</v>
      </c>
      <c r="C4" s="32" t="s">
        <v>34</v>
      </c>
      <c r="D4" s="33" t="s">
        <v>24</v>
      </c>
      <c r="E4" s="32" t="s">
        <v>27</v>
      </c>
      <c r="F4" s="33" t="s">
        <v>28</v>
      </c>
      <c r="G4" s="33">
        <v>6.37</v>
      </c>
      <c r="H4" s="32">
        <v>400</v>
      </c>
      <c r="I4" s="34">
        <f t="shared" si="0"/>
        <v>0.0221</v>
      </c>
      <c r="J4" s="33">
        <v>5</v>
      </c>
      <c r="K4" s="33">
        <v>8.84</v>
      </c>
      <c r="L4" s="35">
        <f t="shared" si="1"/>
        <v>1.768</v>
      </c>
      <c r="M4" s="36">
        <f t="shared" si="2"/>
        <v>80</v>
      </c>
    </row>
    <row r="5" s="20" customFormat="1" ht="67" customHeight="1" spans="1:13">
      <c r="A5" s="37" t="s">
        <v>23</v>
      </c>
      <c r="B5" s="33" t="s">
        <v>24</v>
      </c>
      <c r="C5" s="37" t="s">
        <v>35</v>
      </c>
      <c r="D5" s="33" t="s">
        <v>24</v>
      </c>
      <c r="E5" s="37" t="s">
        <v>36</v>
      </c>
      <c r="F5" s="38" t="s">
        <v>889</v>
      </c>
      <c r="G5" s="38" t="s">
        <v>25</v>
      </c>
      <c r="H5" s="37">
        <v>2000</v>
      </c>
      <c r="I5" s="34">
        <f t="shared" si="0"/>
        <v>0</v>
      </c>
      <c r="J5" s="38">
        <v>570</v>
      </c>
      <c r="K5" s="38"/>
      <c r="L5" s="35">
        <f t="shared" si="1"/>
        <v>0</v>
      </c>
      <c r="M5" s="36">
        <f t="shared" si="2"/>
        <v>0</v>
      </c>
    </row>
    <row r="6" s="20" customFormat="1" ht="64" customHeight="1" spans="1:13">
      <c r="A6" s="32" t="s">
        <v>23</v>
      </c>
      <c r="B6" s="33" t="s">
        <v>24</v>
      </c>
      <c r="C6" s="32" t="s">
        <v>39</v>
      </c>
      <c r="D6" s="33" t="s">
        <v>24</v>
      </c>
      <c r="E6" s="32" t="s">
        <v>40</v>
      </c>
      <c r="F6" s="38" t="s">
        <v>889</v>
      </c>
      <c r="G6" s="33" t="s">
        <v>25</v>
      </c>
      <c r="H6" s="32">
        <v>2000</v>
      </c>
      <c r="I6" s="34">
        <f t="shared" si="0"/>
        <v>0.555</v>
      </c>
      <c r="J6" s="33">
        <v>570</v>
      </c>
      <c r="K6" s="33">
        <v>1110</v>
      </c>
      <c r="L6" s="35">
        <f t="shared" si="1"/>
        <v>1.94736842105263</v>
      </c>
      <c r="M6" s="36">
        <f t="shared" si="2"/>
        <v>80</v>
      </c>
    </row>
    <row r="7" s="20" customFormat="1" ht="62" customHeight="1" spans="1:13">
      <c r="A7" s="37" t="s">
        <v>23</v>
      </c>
      <c r="B7" s="33" t="s">
        <v>24</v>
      </c>
      <c r="C7" s="37" t="s">
        <v>41</v>
      </c>
      <c r="D7" s="33" t="s">
        <v>24</v>
      </c>
      <c r="E7" s="37" t="s">
        <v>36</v>
      </c>
      <c r="F7" s="38" t="s">
        <v>889</v>
      </c>
      <c r="G7" s="38" t="s">
        <v>25</v>
      </c>
      <c r="H7" s="37">
        <v>2000</v>
      </c>
      <c r="I7" s="34">
        <f t="shared" si="0"/>
        <v>0.512</v>
      </c>
      <c r="J7" s="38">
        <v>570</v>
      </c>
      <c r="K7" s="38">
        <v>1024</v>
      </c>
      <c r="L7" s="35">
        <f t="shared" si="1"/>
        <v>1.79649122807018</v>
      </c>
      <c r="M7" s="36">
        <f t="shared" si="2"/>
        <v>80</v>
      </c>
    </row>
    <row r="8" s="1" customFormat="1" ht="54" customHeight="1" spans="1:13">
      <c r="A8" s="39" t="s">
        <v>42</v>
      </c>
      <c r="B8" s="40" t="s">
        <v>43</v>
      </c>
      <c r="C8" s="39" t="s">
        <v>44</v>
      </c>
      <c r="D8" s="40" t="s">
        <v>43</v>
      </c>
      <c r="E8" s="39" t="s">
        <v>45</v>
      </c>
      <c r="F8" s="40" t="s">
        <v>46</v>
      </c>
      <c r="G8" s="40">
        <v>39.2</v>
      </c>
      <c r="H8" s="39">
        <v>8</v>
      </c>
      <c r="I8" s="41">
        <f>H8/K8</f>
        <v>0.340425531914894</v>
      </c>
      <c r="J8" s="40">
        <v>27</v>
      </c>
      <c r="K8" s="40">
        <v>23.5</v>
      </c>
      <c r="L8" s="35">
        <f>J8/K8</f>
        <v>1.14893617021277</v>
      </c>
      <c r="M8" s="42">
        <f t="shared" si="2"/>
        <v>65.9574468085106</v>
      </c>
    </row>
    <row r="9" s="1" customFormat="1" ht="64" customHeight="1" spans="1:13">
      <c r="A9" s="39" t="s">
        <v>42</v>
      </c>
      <c r="B9" s="40" t="s">
        <v>43</v>
      </c>
      <c r="C9" s="39" t="s">
        <v>47</v>
      </c>
      <c r="D9" s="40" t="s">
        <v>43</v>
      </c>
      <c r="E9" s="39" t="s">
        <v>48</v>
      </c>
      <c r="F9" s="40" t="s">
        <v>46</v>
      </c>
      <c r="G9" s="40">
        <v>74.7</v>
      </c>
      <c r="H9" s="39">
        <v>8</v>
      </c>
      <c r="I9" s="41">
        <f>H9/K9</f>
        <v>0.159362549800797</v>
      </c>
      <c r="J9" s="40">
        <v>50</v>
      </c>
      <c r="K9" s="40">
        <v>50.2</v>
      </c>
      <c r="L9" s="35">
        <f>J9/K9</f>
        <v>0.99601593625498</v>
      </c>
      <c r="M9" s="42">
        <f t="shared" si="2"/>
        <v>59.8406374501992</v>
      </c>
    </row>
    <row r="10" s="20" customFormat="1" ht="67.5" spans="1:13">
      <c r="A10" s="32" t="s">
        <v>49</v>
      </c>
      <c r="B10" s="33" t="s">
        <v>50</v>
      </c>
      <c r="C10" s="32" t="s">
        <v>51</v>
      </c>
      <c r="D10" s="33" t="s">
        <v>50</v>
      </c>
      <c r="E10" s="43" t="s">
        <v>890</v>
      </c>
      <c r="F10" s="44" t="s">
        <v>53</v>
      </c>
      <c r="G10" s="33" t="s">
        <v>55</v>
      </c>
      <c r="H10" s="32" t="s">
        <v>56</v>
      </c>
      <c r="I10" s="32"/>
      <c r="J10" s="33" t="s">
        <v>57</v>
      </c>
      <c r="K10" s="33"/>
      <c r="L10" s="45"/>
      <c r="M10" s="42">
        <f t="shared" ref="M10:M52" si="3">IF(L10&gt;=1.5,80,IF(L10&gt;=1,60+(L10-1)/0.5*20,IF(L10&gt;=0.5,40+(L10-0.5)/0.5*20,L10/0.5*40)))</f>
        <v>0</v>
      </c>
    </row>
    <row r="11" s="20" customFormat="1" ht="67.5" spans="1:13">
      <c r="A11" s="32" t="s">
        <v>49</v>
      </c>
      <c r="B11" s="33" t="s">
        <v>50</v>
      </c>
      <c r="C11" s="32" t="s">
        <v>58</v>
      </c>
      <c r="D11" s="33" t="s">
        <v>50</v>
      </c>
      <c r="E11" s="32" t="s">
        <v>59</v>
      </c>
      <c r="F11" s="44" t="s">
        <v>53</v>
      </c>
      <c r="G11" s="33" t="s">
        <v>55</v>
      </c>
      <c r="H11" s="32" t="s">
        <v>60</v>
      </c>
      <c r="I11" s="32"/>
      <c r="J11" s="33" t="s">
        <v>57</v>
      </c>
      <c r="K11" s="33"/>
      <c r="L11" s="45"/>
      <c r="M11" s="42">
        <f t="shared" si="3"/>
        <v>0</v>
      </c>
    </row>
    <row r="12" s="20" customFormat="1" ht="67.5" spans="1:13">
      <c r="A12" s="32" t="s">
        <v>49</v>
      </c>
      <c r="B12" s="33" t="s">
        <v>50</v>
      </c>
      <c r="C12" s="32" t="s">
        <v>62</v>
      </c>
      <c r="D12" s="33" t="s">
        <v>50</v>
      </c>
      <c r="E12" s="32" t="s">
        <v>63</v>
      </c>
      <c r="F12" s="44" t="s">
        <v>53</v>
      </c>
      <c r="G12" s="33" t="s">
        <v>55</v>
      </c>
      <c r="H12" s="32" t="s">
        <v>64</v>
      </c>
      <c r="I12" s="32"/>
      <c r="J12" s="33" t="s">
        <v>57</v>
      </c>
      <c r="K12" s="33"/>
      <c r="L12" s="45"/>
      <c r="M12" s="42">
        <f t="shared" si="3"/>
        <v>0</v>
      </c>
    </row>
    <row r="13" s="1" customFormat="1" ht="40" customHeight="1" spans="1:13">
      <c r="A13" s="39" t="s">
        <v>66</v>
      </c>
      <c r="B13" s="40" t="s">
        <v>67</v>
      </c>
      <c r="C13" s="39" t="s">
        <v>70</v>
      </c>
      <c r="D13" s="40" t="s">
        <v>69</v>
      </c>
      <c r="E13" s="39" t="s">
        <v>891</v>
      </c>
      <c r="F13" s="46" t="s">
        <v>892</v>
      </c>
      <c r="G13" s="40"/>
      <c r="H13" s="39" t="s">
        <v>893</v>
      </c>
      <c r="I13" s="39"/>
      <c r="J13" s="40" t="s">
        <v>74</v>
      </c>
      <c r="K13" s="40"/>
      <c r="L13" s="40"/>
      <c r="M13" s="42">
        <f t="shared" si="3"/>
        <v>0</v>
      </c>
    </row>
    <row r="14" s="1" customFormat="1" ht="40" customHeight="1" spans="1:13">
      <c r="A14" s="39" t="s">
        <v>66</v>
      </c>
      <c r="B14" s="40" t="s">
        <v>67</v>
      </c>
      <c r="C14" s="39" t="s">
        <v>75</v>
      </c>
      <c r="D14" s="40" t="s">
        <v>69</v>
      </c>
      <c r="E14" s="39" t="s">
        <v>894</v>
      </c>
      <c r="F14" s="46" t="s">
        <v>892</v>
      </c>
      <c r="G14" s="40"/>
      <c r="H14" s="39" t="s">
        <v>895</v>
      </c>
      <c r="I14" s="39"/>
      <c r="J14" s="40" t="s">
        <v>78</v>
      </c>
      <c r="K14" s="40"/>
      <c r="L14" s="40"/>
      <c r="M14" s="42">
        <f t="shared" si="3"/>
        <v>0</v>
      </c>
    </row>
    <row r="15" s="1" customFormat="1" ht="62" customHeight="1" spans="1:13">
      <c r="A15" s="39" t="s">
        <v>66</v>
      </c>
      <c r="B15" s="40" t="s">
        <v>67</v>
      </c>
      <c r="C15" s="39" t="s">
        <v>81</v>
      </c>
      <c r="D15" s="40" t="s">
        <v>80</v>
      </c>
      <c r="E15" s="39" t="s">
        <v>82</v>
      </c>
      <c r="F15" s="47" t="s">
        <v>896</v>
      </c>
      <c r="G15" s="48">
        <v>0.4</v>
      </c>
      <c r="H15" s="49">
        <v>0.1</v>
      </c>
      <c r="I15" s="41">
        <f>(G15-K15)/(G15-H15)</f>
        <v>0.242666666666667</v>
      </c>
      <c r="J15" s="50">
        <v>0.3</v>
      </c>
      <c r="K15" s="48">
        <v>0.3272</v>
      </c>
      <c r="L15" s="48">
        <f>(G15-K15)/(G15-J15)</f>
        <v>0.728</v>
      </c>
      <c r="M15" s="42">
        <f t="shared" si="3"/>
        <v>49.12</v>
      </c>
    </row>
    <row r="16" s="1" customFormat="1" ht="64" customHeight="1" spans="1:13">
      <c r="A16" s="39" t="s">
        <v>66</v>
      </c>
      <c r="B16" s="40" t="s">
        <v>67</v>
      </c>
      <c r="C16" s="39" t="s">
        <v>84</v>
      </c>
      <c r="D16" s="40" t="s">
        <v>80</v>
      </c>
      <c r="E16" s="39" t="s">
        <v>85</v>
      </c>
      <c r="F16" s="47" t="s">
        <v>896</v>
      </c>
      <c r="G16" s="48">
        <v>0.4</v>
      </c>
      <c r="H16" s="49">
        <v>0.1</v>
      </c>
      <c r="I16" s="41">
        <f>(G16-K16)/(G16-H16)</f>
        <v>0.501</v>
      </c>
      <c r="J16" s="50">
        <v>0.3</v>
      </c>
      <c r="K16" s="48">
        <v>0.2497</v>
      </c>
      <c r="L16" s="48">
        <f>(G16-K16)/(G16-J16)</f>
        <v>1.503</v>
      </c>
      <c r="M16" s="42">
        <f t="shared" si="3"/>
        <v>80</v>
      </c>
    </row>
    <row r="17" s="1" customFormat="1" ht="65" customHeight="1" spans="1:13">
      <c r="A17" s="39" t="s">
        <v>66</v>
      </c>
      <c r="B17" s="40" t="s">
        <v>67</v>
      </c>
      <c r="C17" s="39" t="s">
        <v>86</v>
      </c>
      <c r="D17" s="40" t="s">
        <v>80</v>
      </c>
      <c r="E17" s="39" t="s">
        <v>87</v>
      </c>
      <c r="F17" s="47" t="s">
        <v>896</v>
      </c>
      <c r="G17" s="48">
        <v>0.4109</v>
      </c>
      <c r="H17" s="49">
        <v>0.9</v>
      </c>
      <c r="I17" s="41">
        <f>(K17-G17)/(H17-G17)</f>
        <v>0.174197505622572</v>
      </c>
      <c r="J17" s="50">
        <v>0.6</v>
      </c>
      <c r="K17" s="48">
        <v>0.4961</v>
      </c>
      <c r="L17" s="48">
        <f>(K17-G17)/(J17-G17)</f>
        <v>0.450555261766261</v>
      </c>
      <c r="M17" s="42">
        <f t="shared" si="3"/>
        <v>36.0444209413009</v>
      </c>
    </row>
    <row r="18" s="1" customFormat="1" ht="55" customHeight="1" spans="1:13">
      <c r="A18" s="39" t="s">
        <v>66</v>
      </c>
      <c r="B18" s="40" t="s">
        <v>67</v>
      </c>
      <c r="C18" s="39" t="s">
        <v>90</v>
      </c>
      <c r="D18" s="40" t="s">
        <v>89</v>
      </c>
      <c r="E18" s="39" t="s">
        <v>91</v>
      </c>
      <c r="F18" s="47" t="s">
        <v>92</v>
      </c>
      <c r="G18" s="40" t="s">
        <v>93</v>
      </c>
      <c r="H18" s="39" t="s">
        <v>94</v>
      </c>
      <c r="I18" s="41">
        <v>1</v>
      </c>
      <c r="J18" s="40" t="s">
        <v>95</v>
      </c>
      <c r="K18" s="40">
        <v>0</v>
      </c>
      <c r="L18" s="50">
        <v>1</v>
      </c>
      <c r="M18" s="42">
        <f t="shared" si="3"/>
        <v>60</v>
      </c>
    </row>
    <row r="19" s="1" customFormat="1" ht="52" customHeight="1" spans="1:13">
      <c r="A19" s="39" t="s">
        <v>66</v>
      </c>
      <c r="B19" s="40" t="s">
        <v>67</v>
      </c>
      <c r="C19" s="39" t="s">
        <v>97</v>
      </c>
      <c r="D19" s="40" t="s">
        <v>67</v>
      </c>
      <c r="E19" s="39" t="s">
        <v>98</v>
      </c>
      <c r="F19" s="47" t="s">
        <v>99</v>
      </c>
      <c r="G19" s="51">
        <v>0.806</v>
      </c>
      <c r="H19" s="49">
        <v>0.98</v>
      </c>
      <c r="I19" s="41">
        <f>K19/H19</f>
        <v>0.510204081632653</v>
      </c>
      <c r="J19" s="50">
        <v>0.85</v>
      </c>
      <c r="K19" s="50">
        <v>0.5</v>
      </c>
      <c r="L19" s="50">
        <f>K19/J19</f>
        <v>0.588235294117647</v>
      </c>
      <c r="M19" s="42">
        <f t="shared" si="3"/>
        <v>43.5294117647059</v>
      </c>
    </row>
    <row r="20" s="1" customFormat="1" ht="52" customHeight="1" spans="1:13">
      <c r="A20" s="39" t="s">
        <v>66</v>
      </c>
      <c r="B20" s="40" t="s">
        <v>67</v>
      </c>
      <c r="C20" s="39" t="s">
        <v>100</v>
      </c>
      <c r="D20" s="40" t="s">
        <v>67</v>
      </c>
      <c r="E20" s="39" t="s">
        <v>101</v>
      </c>
      <c r="F20" s="47" t="s">
        <v>99</v>
      </c>
      <c r="G20" s="51">
        <v>0.8042</v>
      </c>
      <c r="H20" s="49">
        <v>0.98</v>
      </c>
      <c r="I20" s="41">
        <f>K20/H20</f>
        <v>0.793673469387755</v>
      </c>
      <c r="J20" s="50">
        <v>0.85</v>
      </c>
      <c r="K20" s="48">
        <v>0.7778</v>
      </c>
      <c r="L20" s="50">
        <f>K20/J20</f>
        <v>0.915058823529412</v>
      </c>
      <c r="M20" s="42">
        <f t="shared" si="3"/>
        <v>56.6023529411765</v>
      </c>
    </row>
    <row r="21" s="1" customFormat="1" ht="51" customHeight="1" spans="1:13">
      <c r="A21" s="39" t="s">
        <v>66</v>
      </c>
      <c r="B21" s="40" t="s">
        <v>67</v>
      </c>
      <c r="C21" s="39" t="s">
        <v>102</v>
      </c>
      <c r="D21" s="40" t="s">
        <v>67</v>
      </c>
      <c r="E21" s="39" t="s">
        <v>103</v>
      </c>
      <c r="F21" s="47" t="s">
        <v>99</v>
      </c>
      <c r="G21" s="52">
        <v>0.75</v>
      </c>
      <c r="H21" s="49">
        <v>0.98</v>
      </c>
      <c r="I21" s="41">
        <f>K21/H21</f>
        <v>0</v>
      </c>
      <c r="J21" s="50">
        <v>0.85</v>
      </c>
      <c r="K21" s="50">
        <v>0</v>
      </c>
      <c r="L21" s="50">
        <f>K21/J21</f>
        <v>0</v>
      </c>
      <c r="M21" s="42">
        <f t="shared" si="3"/>
        <v>0</v>
      </c>
    </row>
    <row r="22" s="1" customFormat="1" ht="62" customHeight="1" spans="1:13">
      <c r="A22" s="39" t="s">
        <v>66</v>
      </c>
      <c r="B22" s="40" t="s">
        <v>67</v>
      </c>
      <c r="C22" s="39" t="s">
        <v>104</v>
      </c>
      <c r="D22" s="40" t="s">
        <v>67</v>
      </c>
      <c r="E22" s="39" t="s">
        <v>105</v>
      </c>
      <c r="F22" s="47" t="s">
        <v>99</v>
      </c>
      <c r="G22" s="47" t="s">
        <v>25</v>
      </c>
      <c r="H22" s="49">
        <v>0.03</v>
      </c>
      <c r="I22" s="49">
        <f>H22/K22</f>
        <v>0.105005250262513</v>
      </c>
      <c r="J22" s="50">
        <v>0.07</v>
      </c>
      <c r="K22" s="48">
        <v>0.2857</v>
      </c>
      <c r="L22" s="48">
        <f>J22/K22</f>
        <v>0.245012250612531</v>
      </c>
      <c r="M22" s="42">
        <f t="shared" si="3"/>
        <v>19.6009800490025</v>
      </c>
    </row>
    <row r="23" s="1" customFormat="1" ht="62" customHeight="1" spans="1:13">
      <c r="A23" s="39" t="s">
        <v>66</v>
      </c>
      <c r="B23" s="40" t="s">
        <v>67</v>
      </c>
      <c r="C23" s="39" t="s">
        <v>106</v>
      </c>
      <c r="D23" s="40" t="s">
        <v>67</v>
      </c>
      <c r="E23" s="39" t="s">
        <v>105</v>
      </c>
      <c r="F23" s="47" t="s">
        <v>99</v>
      </c>
      <c r="G23" s="47" t="s">
        <v>25</v>
      </c>
      <c r="H23" s="49">
        <v>0.03</v>
      </c>
      <c r="I23" s="49">
        <f t="shared" ref="I22:I24" si="4">H23/K23</f>
        <v>0.17996400719856</v>
      </c>
      <c r="J23" s="50">
        <v>0.07</v>
      </c>
      <c r="K23" s="48">
        <v>0.1667</v>
      </c>
      <c r="L23" s="48">
        <f>J23/K23</f>
        <v>0.419916016796641</v>
      </c>
      <c r="M23" s="42">
        <f t="shared" si="3"/>
        <v>33.5932813437313</v>
      </c>
    </row>
    <row r="24" s="1" customFormat="1" ht="63" customHeight="1" spans="1:13">
      <c r="A24" s="39" t="s">
        <v>66</v>
      </c>
      <c r="B24" s="40" t="s">
        <v>67</v>
      </c>
      <c r="C24" s="39" t="s">
        <v>107</v>
      </c>
      <c r="D24" s="40" t="s">
        <v>67</v>
      </c>
      <c r="E24" s="39" t="s">
        <v>108</v>
      </c>
      <c r="F24" s="47" t="s">
        <v>99</v>
      </c>
      <c r="G24" s="47" t="s">
        <v>25</v>
      </c>
      <c r="H24" s="49">
        <v>0.03</v>
      </c>
      <c r="I24" s="49">
        <f t="shared" si="4"/>
        <v>0.12</v>
      </c>
      <c r="J24" s="50">
        <v>0.07</v>
      </c>
      <c r="K24" s="50">
        <v>0.25</v>
      </c>
      <c r="L24" s="48">
        <f>J24/K24</f>
        <v>0.28</v>
      </c>
      <c r="M24" s="42">
        <f t="shared" si="3"/>
        <v>22.4</v>
      </c>
    </row>
    <row r="25" s="1" customFormat="1" ht="80" customHeight="1" spans="1:13">
      <c r="A25" s="39" t="s">
        <v>66</v>
      </c>
      <c r="B25" s="40" t="s">
        <v>67</v>
      </c>
      <c r="C25" s="39" t="s">
        <v>110</v>
      </c>
      <c r="D25" s="40" t="s">
        <v>43</v>
      </c>
      <c r="E25" s="53" t="s">
        <v>111</v>
      </c>
      <c r="F25" s="54" t="s">
        <v>112</v>
      </c>
      <c r="G25" s="46" t="s">
        <v>113</v>
      </c>
      <c r="H25" s="49">
        <v>0.95</v>
      </c>
      <c r="I25" s="39"/>
      <c r="J25" s="50">
        <v>0.85</v>
      </c>
      <c r="K25" s="40"/>
      <c r="L25" s="40"/>
      <c r="M25" s="42">
        <f t="shared" si="3"/>
        <v>0</v>
      </c>
    </row>
    <row r="26" s="1" customFormat="1" ht="62" customHeight="1" spans="1:13">
      <c r="A26" s="39" t="s">
        <v>66</v>
      </c>
      <c r="B26" s="40" t="s">
        <v>67</v>
      </c>
      <c r="C26" s="39" t="s">
        <v>114</v>
      </c>
      <c r="D26" s="40" t="s">
        <v>43</v>
      </c>
      <c r="E26" s="53" t="s">
        <v>115</v>
      </c>
      <c r="F26" s="54" t="s">
        <v>112</v>
      </c>
      <c r="G26" s="46" t="s">
        <v>113</v>
      </c>
      <c r="H26" s="39">
        <v>48</v>
      </c>
      <c r="I26" s="39"/>
      <c r="J26" s="40" t="s">
        <v>116</v>
      </c>
      <c r="K26" s="40"/>
      <c r="L26" s="40"/>
      <c r="M26" s="42">
        <f t="shared" si="3"/>
        <v>0</v>
      </c>
    </row>
    <row r="27" s="1" customFormat="1" ht="62" customHeight="1" spans="1:13">
      <c r="A27" s="39" t="s">
        <v>66</v>
      </c>
      <c r="B27" s="40" t="s">
        <v>67</v>
      </c>
      <c r="C27" s="39" t="s">
        <v>118</v>
      </c>
      <c r="D27" s="40" t="s">
        <v>43</v>
      </c>
      <c r="E27" s="53" t="s">
        <v>119</v>
      </c>
      <c r="F27" s="54" t="s">
        <v>112</v>
      </c>
      <c r="G27" s="46" t="s">
        <v>113</v>
      </c>
      <c r="H27" s="39">
        <v>72</v>
      </c>
      <c r="I27" s="39"/>
      <c r="J27" s="40" t="s">
        <v>120</v>
      </c>
      <c r="K27" s="40"/>
      <c r="L27" s="40"/>
      <c r="M27" s="42">
        <f t="shared" si="3"/>
        <v>0</v>
      </c>
    </row>
    <row r="28" s="1" customFormat="1" ht="62" customHeight="1" spans="1:13">
      <c r="A28" s="39" t="s">
        <v>66</v>
      </c>
      <c r="B28" s="40" t="s">
        <v>67</v>
      </c>
      <c r="C28" s="39" t="s">
        <v>122</v>
      </c>
      <c r="D28" s="40" t="s">
        <v>43</v>
      </c>
      <c r="E28" s="53" t="s">
        <v>123</v>
      </c>
      <c r="F28" s="54" t="s">
        <v>112</v>
      </c>
      <c r="G28" s="46" t="s">
        <v>113</v>
      </c>
      <c r="H28" s="39">
        <v>48</v>
      </c>
      <c r="I28" s="39"/>
      <c r="J28" s="40" t="s">
        <v>120</v>
      </c>
      <c r="K28" s="40"/>
      <c r="L28" s="40"/>
      <c r="M28" s="42">
        <f t="shared" si="3"/>
        <v>0</v>
      </c>
    </row>
    <row r="29" s="1" customFormat="1" ht="62" customHeight="1" spans="1:13">
      <c r="A29" s="39" t="s">
        <v>66</v>
      </c>
      <c r="B29" s="40" t="s">
        <v>67</v>
      </c>
      <c r="C29" s="39" t="s">
        <v>124</v>
      </c>
      <c r="D29" s="40" t="s">
        <v>43</v>
      </c>
      <c r="E29" s="53" t="s">
        <v>119</v>
      </c>
      <c r="F29" s="54" t="s">
        <v>112</v>
      </c>
      <c r="G29" s="46" t="s">
        <v>113</v>
      </c>
      <c r="H29" s="39">
        <v>72</v>
      </c>
      <c r="I29" s="39"/>
      <c r="J29" s="40" t="s">
        <v>120</v>
      </c>
      <c r="K29" s="40"/>
      <c r="L29" s="40"/>
      <c r="M29" s="42">
        <f t="shared" si="3"/>
        <v>0</v>
      </c>
    </row>
    <row r="30" s="21" customFormat="1" ht="40" customHeight="1" spans="1:13">
      <c r="A30" s="43" t="s">
        <v>125</v>
      </c>
      <c r="B30" s="55" t="s">
        <v>69</v>
      </c>
      <c r="C30" s="43" t="s">
        <v>127</v>
      </c>
      <c r="D30" s="55" t="s">
        <v>69</v>
      </c>
      <c r="E30" s="43" t="s">
        <v>897</v>
      </c>
      <c r="F30" s="55" t="s">
        <v>892</v>
      </c>
      <c r="G30" s="55"/>
      <c r="H30" s="43" t="s">
        <v>898</v>
      </c>
      <c r="I30" s="43"/>
      <c r="J30" s="55" t="s">
        <v>131</v>
      </c>
      <c r="K30" s="55"/>
      <c r="L30" s="55"/>
      <c r="M30" s="42">
        <f t="shared" si="3"/>
        <v>0</v>
      </c>
    </row>
    <row r="31" s="21" customFormat="1" ht="40" customHeight="1" spans="1:13">
      <c r="A31" s="43" t="s">
        <v>125</v>
      </c>
      <c r="B31" s="55" t="s">
        <v>69</v>
      </c>
      <c r="C31" s="43" t="s">
        <v>141</v>
      </c>
      <c r="D31" s="55" t="s">
        <v>69</v>
      </c>
      <c r="E31" s="43" t="s">
        <v>899</v>
      </c>
      <c r="F31" s="55" t="s">
        <v>892</v>
      </c>
      <c r="G31" s="55"/>
      <c r="H31" s="43" t="s">
        <v>900</v>
      </c>
      <c r="I31" s="43"/>
      <c r="J31" s="55" t="s">
        <v>144</v>
      </c>
      <c r="K31" s="55"/>
      <c r="L31" s="55"/>
      <c r="M31" s="42">
        <f t="shared" si="3"/>
        <v>0</v>
      </c>
    </row>
    <row r="32" s="21" customFormat="1" ht="40" customHeight="1" spans="1:13">
      <c r="A32" s="43" t="s">
        <v>125</v>
      </c>
      <c r="B32" s="55" t="s">
        <v>69</v>
      </c>
      <c r="C32" s="43" t="s">
        <v>145</v>
      </c>
      <c r="D32" s="55" t="s">
        <v>69</v>
      </c>
      <c r="E32" s="43" t="s">
        <v>901</v>
      </c>
      <c r="F32" s="55" t="s">
        <v>892</v>
      </c>
      <c r="G32" s="55"/>
      <c r="H32" s="43" t="s">
        <v>902</v>
      </c>
      <c r="I32" s="43"/>
      <c r="J32" s="55" t="s">
        <v>148</v>
      </c>
      <c r="K32" s="55"/>
      <c r="L32" s="55"/>
      <c r="M32" s="42">
        <f t="shared" si="3"/>
        <v>0</v>
      </c>
    </row>
    <row r="33" s="22" customFormat="1" ht="40" customHeight="1" spans="1:13">
      <c r="A33" s="56" t="s">
        <v>125</v>
      </c>
      <c r="B33" s="55" t="s">
        <v>69</v>
      </c>
      <c r="C33" s="56" t="s">
        <v>150</v>
      </c>
      <c r="D33" s="55" t="s">
        <v>69</v>
      </c>
      <c r="E33" s="56" t="s">
        <v>903</v>
      </c>
      <c r="F33" s="57" t="s">
        <v>892</v>
      </c>
      <c r="G33" s="57"/>
      <c r="H33" s="56" t="s">
        <v>904</v>
      </c>
      <c r="I33" s="56"/>
      <c r="J33" s="57" t="s">
        <v>905</v>
      </c>
      <c r="K33" s="57"/>
      <c r="L33" s="57"/>
      <c r="M33" s="42">
        <f t="shared" si="3"/>
        <v>0</v>
      </c>
    </row>
    <row r="34" s="22" customFormat="1" ht="40" customHeight="1" spans="1:13">
      <c r="A34" s="56" t="s">
        <v>125</v>
      </c>
      <c r="B34" s="55" t="s">
        <v>69</v>
      </c>
      <c r="C34" s="56" t="s">
        <v>882</v>
      </c>
      <c r="D34" s="55" t="s">
        <v>69</v>
      </c>
      <c r="E34" s="56" t="s">
        <v>906</v>
      </c>
      <c r="F34" s="57"/>
      <c r="G34" s="57"/>
      <c r="H34" s="56"/>
      <c r="I34" s="56"/>
      <c r="J34" s="57"/>
      <c r="K34" s="57"/>
      <c r="L34" s="57"/>
      <c r="M34" s="42"/>
    </row>
    <row r="35" s="22" customFormat="1" ht="40" customHeight="1" spans="1:13">
      <c r="A35" s="56" t="s">
        <v>125</v>
      </c>
      <c r="B35" s="55" t="s">
        <v>69</v>
      </c>
      <c r="C35" s="56" t="s">
        <v>883</v>
      </c>
      <c r="D35" s="55" t="s">
        <v>69</v>
      </c>
      <c r="E35" s="56"/>
      <c r="F35" s="57"/>
      <c r="G35" s="57"/>
      <c r="H35" s="56"/>
      <c r="I35" s="56"/>
      <c r="J35" s="57"/>
      <c r="K35" s="57"/>
      <c r="L35" s="57"/>
      <c r="M35" s="42"/>
    </row>
    <row r="36" s="1" customFormat="1" ht="40" customHeight="1" spans="1:13">
      <c r="A36" s="39" t="s">
        <v>163</v>
      </c>
      <c r="B36" s="40" t="s">
        <v>69</v>
      </c>
      <c r="C36" s="39" t="s">
        <v>164</v>
      </c>
      <c r="D36" s="40" t="s">
        <v>69</v>
      </c>
      <c r="E36" s="39" t="s">
        <v>907</v>
      </c>
      <c r="F36" s="47" t="s">
        <v>908</v>
      </c>
      <c r="G36" s="40"/>
      <c r="H36" s="39" t="s">
        <v>909</v>
      </c>
      <c r="I36" s="39"/>
      <c r="J36" s="40" t="s">
        <v>910</v>
      </c>
      <c r="K36" s="40"/>
      <c r="L36" s="40"/>
      <c r="M36" s="42">
        <f t="shared" ref="M36:M50" si="5">IF(L36&gt;=1.5,80,IF(L36&gt;=1,60+(L36-1)/0.5*20,IF(L36&gt;=0.5,40+(L36-0.5)/0.5*20,L36/0.5*40)))</f>
        <v>0</v>
      </c>
    </row>
    <row r="37" s="1" customFormat="1" ht="40" customHeight="1" spans="1:13">
      <c r="A37" s="39" t="s">
        <v>163</v>
      </c>
      <c r="B37" s="40" t="s">
        <v>69</v>
      </c>
      <c r="C37" s="39" t="s">
        <v>168</v>
      </c>
      <c r="D37" s="40" t="s">
        <v>69</v>
      </c>
      <c r="E37" s="39" t="s">
        <v>38</v>
      </c>
      <c r="F37" s="47" t="s">
        <v>908</v>
      </c>
      <c r="G37" s="40"/>
      <c r="H37" s="39" t="s">
        <v>911</v>
      </c>
      <c r="I37" s="39"/>
      <c r="J37" s="40" t="s">
        <v>170</v>
      </c>
      <c r="K37" s="40"/>
      <c r="L37" s="40"/>
      <c r="M37" s="42">
        <f t="shared" si="5"/>
        <v>0</v>
      </c>
    </row>
    <row r="38" s="20" customFormat="1" ht="63" customHeight="1" spans="1:13">
      <c r="A38" s="32" t="s">
        <v>180</v>
      </c>
      <c r="B38" s="33" t="s">
        <v>181</v>
      </c>
      <c r="C38" s="32" t="s">
        <v>182</v>
      </c>
      <c r="D38" s="33" t="s">
        <v>181</v>
      </c>
      <c r="E38" s="32" t="s">
        <v>183</v>
      </c>
      <c r="F38" s="44" t="s">
        <v>912</v>
      </c>
      <c r="G38" s="33">
        <v>0</v>
      </c>
      <c r="H38" s="32">
        <v>1750</v>
      </c>
      <c r="I38" s="32"/>
      <c r="J38" s="33" t="s">
        <v>185</v>
      </c>
      <c r="K38" s="33"/>
      <c r="L38" s="33"/>
      <c r="M38" s="42">
        <f t="shared" si="5"/>
        <v>0</v>
      </c>
    </row>
    <row r="39" s="20" customFormat="1" ht="56.25" spans="1:13">
      <c r="A39" s="32" t="s">
        <v>180</v>
      </c>
      <c r="B39" s="33" t="s">
        <v>181</v>
      </c>
      <c r="C39" s="32" t="s">
        <v>191</v>
      </c>
      <c r="D39" s="33" t="s">
        <v>181</v>
      </c>
      <c r="E39" s="32" t="s">
        <v>192</v>
      </c>
      <c r="F39" s="44" t="s">
        <v>913</v>
      </c>
      <c r="G39" s="33">
        <v>0</v>
      </c>
      <c r="H39" s="32">
        <v>3000</v>
      </c>
      <c r="I39" s="32"/>
      <c r="J39" s="33" t="s">
        <v>57</v>
      </c>
      <c r="K39" s="33"/>
      <c r="L39" s="33"/>
      <c r="M39" s="42">
        <f t="shared" si="5"/>
        <v>0</v>
      </c>
    </row>
    <row r="40" s="1" customFormat="1" ht="51" customHeight="1" spans="1:13">
      <c r="A40" s="39" t="s">
        <v>199</v>
      </c>
      <c r="B40" s="40" t="s">
        <v>89</v>
      </c>
      <c r="C40" s="39" t="s">
        <v>202</v>
      </c>
      <c r="D40" s="40" t="s">
        <v>201</v>
      </c>
      <c r="E40" s="39" t="s">
        <v>203</v>
      </c>
      <c r="F40" s="47" t="s">
        <v>914</v>
      </c>
      <c r="G40" s="48">
        <v>0.12</v>
      </c>
      <c r="H40" s="41">
        <v>0.85</v>
      </c>
      <c r="I40" s="48">
        <f>K40/H40</f>
        <v>0.274117647058824</v>
      </c>
      <c r="J40" s="48">
        <v>0.3</v>
      </c>
      <c r="K40" s="48">
        <v>0.233</v>
      </c>
      <c r="L40" s="48">
        <f>K40/J40</f>
        <v>0.776666666666667</v>
      </c>
      <c r="M40" s="42">
        <f t="shared" si="5"/>
        <v>51.0666666666667</v>
      </c>
    </row>
    <row r="41" s="1" customFormat="1" ht="54" customHeight="1" spans="1:13">
      <c r="A41" s="39" t="s">
        <v>199</v>
      </c>
      <c r="B41" s="40" t="s">
        <v>89</v>
      </c>
      <c r="C41" s="39" t="s">
        <v>205</v>
      </c>
      <c r="D41" s="40" t="s">
        <v>201</v>
      </c>
      <c r="E41" s="39" t="s">
        <v>206</v>
      </c>
      <c r="F41" s="47" t="s">
        <v>914</v>
      </c>
      <c r="G41" s="48">
        <v>0.23</v>
      </c>
      <c r="H41" s="41">
        <v>0.65</v>
      </c>
      <c r="I41" s="48">
        <f>K41/H41</f>
        <v>0.384769230769231</v>
      </c>
      <c r="J41" s="48">
        <v>0.25</v>
      </c>
      <c r="K41" s="48">
        <v>0.2501</v>
      </c>
      <c r="L41" s="48">
        <f>K41/J41</f>
        <v>1.0004</v>
      </c>
      <c r="M41" s="42">
        <f t="shared" si="5"/>
        <v>60.016</v>
      </c>
    </row>
    <row r="42" s="1" customFormat="1" ht="64" customHeight="1" spans="1:13">
      <c r="A42" s="39" t="s">
        <v>199</v>
      </c>
      <c r="B42" s="40" t="s">
        <v>89</v>
      </c>
      <c r="C42" s="39" t="s">
        <v>208</v>
      </c>
      <c r="D42" s="40" t="s">
        <v>89</v>
      </c>
      <c r="E42" s="39" t="s">
        <v>209</v>
      </c>
      <c r="F42" s="47" t="s">
        <v>210</v>
      </c>
      <c r="G42" s="40">
        <v>0</v>
      </c>
      <c r="H42" s="39">
        <v>10000</v>
      </c>
      <c r="I42" s="48">
        <f>K42/H42</f>
        <v>0.209043</v>
      </c>
      <c r="J42" s="40">
        <v>1454</v>
      </c>
      <c r="K42" s="40">
        <v>2090.43</v>
      </c>
      <c r="L42" s="48">
        <f>K42/J42</f>
        <v>1.43770976616231</v>
      </c>
      <c r="M42" s="42">
        <f t="shared" si="5"/>
        <v>77.5083906464924</v>
      </c>
    </row>
    <row r="43" s="1" customFormat="1" ht="58" customHeight="1" spans="1:13">
      <c r="A43" s="39" t="s">
        <v>199</v>
      </c>
      <c r="B43" s="40" t="s">
        <v>89</v>
      </c>
      <c r="C43" s="39" t="s">
        <v>211</v>
      </c>
      <c r="D43" s="40" t="s">
        <v>89</v>
      </c>
      <c r="E43" s="39" t="s">
        <v>212</v>
      </c>
      <c r="F43" s="47" t="s">
        <v>210</v>
      </c>
      <c r="G43" s="40">
        <v>0</v>
      </c>
      <c r="H43" s="39">
        <v>330</v>
      </c>
      <c r="I43" s="48">
        <f t="shared" ref="I40:I45" si="6">K43/H43</f>
        <v>0.324242424242424</v>
      </c>
      <c r="J43" s="40">
        <v>330</v>
      </c>
      <c r="K43" s="40">
        <v>107</v>
      </c>
      <c r="L43" s="48">
        <f>K43/J43</f>
        <v>0.324242424242424</v>
      </c>
      <c r="M43" s="42">
        <f t="shared" si="5"/>
        <v>25.9393939393939</v>
      </c>
    </row>
    <row r="44" s="1" customFormat="1" ht="62" customHeight="1" spans="1:13">
      <c r="A44" s="39" t="s">
        <v>199</v>
      </c>
      <c r="B44" s="40" t="s">
        <v>89</v>
      </c>
      <c r="C44" s="39" t="s">
        <v>213</v>
      </c>
      <c r="D44" s="40" t="s">
        <v>89</v>
      </c>
      <c r="E44" s="39" t="s">
        <v>214</v>
      </c>
      <c r="F44" s="47" t="s">
        <v>210</v>
      </c>
      <c r="G44" s="40">
        <v>0</v>
      </c>
      <c r="H44" s="39">
        <v>30000</v>
      </c>
      <c r="I44" s="48">
        <f t="shared" si="6"/>
        <v>0.0380706666666667</v>
      </c>
      <c r="J44" s="40">
        <v>1351</v>
      </c>
      <c r="K44" s="40">
        <v>1142.12</v>
      </c>
      <c r="L44" s="48">
        <f t="shared" ref="L44:L50" si="7">K44/J44</f>
        <v>0.845388601036269</v>
      </c>
      <c r="M44" s="42">
        <f t="shared" si="5"/>
        <v>53.8155440414508</v>
      </c>
    </row>
    <row r="45" s="1" customFormat="1" ht="54" customHeight="1" spans="1:13">
      <c r="A45" s="39" t="s">
        <v>199</v>
      </c>
      <c r="B45" s="40" t="s">
        <v>89</v>
      </c>
      <c r="C45" s="39" t="s">
        <v>215</v>
      </c>
      <c r="D45" s="40" t="s">
        <v>89</v>
      </c>
      <c r="E45" s="39" t="s">
        <v>216</v>
      </c>
      <c r="F45" s="47" t="s">
        <v>210</v>
      </c>
      <c r="G45" s="40">
        <v>0</v>
      </c>
      <c r="H45" s="39">
        <v>707</v>
      </c>
      <c r="I45" s="48">
        <f t="shared" si="6"/>
        <v>0.211739745403112</v>
      </c>
      <c r="J45" s="40">
        <v>707</v>
      </c>
      <c r="K45" s="40">
        <v>149.7</v>
      </c>
      <c r="L45" s="48">
        <f t="shared" si="7"/>
        <v>0.211739745403112</v>
      </c>
      <c r="M45" s="42">
        <f t="shared" si="5"/>
        <v>16.9391796322489</v>
      </c>
    </row>
    <row r="46" s="20" customFormat="1" ht="53" customHeight="1" spans="1:13">
      <c r="A46" s="32" t="s">
        <v>217</v>
      </c>
      <c r="B46" s="33" t="s">
        <v>218</v>
      </c>
      <c r="C46" s="32" t="s">
        <v>219</v>
      </c>
      <c r="D46" s="33" t="s">
        <v>218</v>
      </c>
      <c r="E46" s="32" t="s">
        <v>220</v>
      </c>
      <c r="F46" s="44" t="s">
        <v>221</v>
      </c>
      <c r="G46" s="35">
        <v>0.1224</v>
      </c>
      <c r="H46" s="58">
        <v>0.06</v>
      </c>
      <c r="I46" s="45">
        <f>H46/K46</f>
        <v>0.306591722023505</v>
      </c>
      <c r="J46" s="45">
        <v>0.1</v>
      </c>
      <c r="K46" s="35">
        <v>0.1957</v>
      </c>
      <c r="L46" s="35">
        <f>J46/K46</f>
        <v>0.510986203372509</v>
      </c>
      <c r="M46" s="42">
        <f t="shared" si="5"/>
        <v>40.4394481349004</v>
      </c>
    </row>
    <row r="47" s="1" customFormat="1" ht="79" customHeight="1" spans="1:13">
      <c r="A47" s="39" t="s">
        <v>222</v>
      </c>
      <c r="B47" s="40" t="s">
        <v>223</v>
      </c>
      <c r="C47" s="39" t="s">
        <v>225</v>
      </c>
      <c r="D47" s="40" t="s">
        <v>223</v>
      </c>
      <c r="E47" s="59" t="s">
        <v>915</v>
      </c>
      <c r="F47" s="47" t="s">
        <v>221</v>
      </c>
      <c r="G47" s="40">
        <v>348</v>
      </c>
      <c r="H47" s="39">
        <v>55</v>
      </c>
      <c r="I47" s="48">
        <f>H47/K47</f>
        <v>0.158045977011494</v>
      </c>
      <c r="J47" s="40" t="s">
        <v>57</v>
      </c>
      <c r="K47" s="40">
        <v>348</v>
      </c>
      <c r="L47" s="40"/>
      <c r="M47" s="42">
        <f t="shared" si="5"/>
        <v>0</v>
      </c>
    </row>
    <row r="48" s="1" customFormat="1" ht="68" customHeight="1" spans="1:13">
      <c r="A48" s="39" t="s">
        <v>222</v>
      </c>
      <c r="B48" s="40" t="s">
        <v>223</v>
      </c>
      <c r="C48" s="39" t="s">
        <v>228</v>
      </c>
      <c r="D48" s="40" t="s">
        <v>43</v>
      </c>
      <c r="E48" s="39" t="s">
        <v>229</v>
      </c>
      <c r="F48" s="47" t="s">
        <v>230</v>
      </c>
      <c r="G48" s="40" t="s">
        <v>93</v>
      </c>
      <c r="H48" s="49">
        <v>1</v>
      </c>
      <c r="I48" s="39"/>
      <c r="J48" s="50">
        <v>1</v>
      </c>
      <c r="K48" s="50">
        <v>0.2</v>
      </c>
      <c r="L48" s="48">
        <f t="shared" si="7"/>
        <v>0.2</v>
      </c>
      <c r="M48" s="42">
        <f t="shared" si="5"/>
        <v>16</v>
      </c>
    </row>
    <row r="49" s="1" customFormat="1" ht="68" customHeight="1" spans="1:13">
      <c r="A49" s="39" t="s">
        <v>222</v>
      </c>
      <c r="B49" s="40" t="s">
        <v>223</v>
      </c>
      <c r="C49" s="39" t="s">
        <v>231</v>
      </c>
      <c r="D49" s="40" t="s">
        <v>43</v>
      </c>
      <c r="E49" s="39" t="s">
        <v>232</v>
      </c>
      <c r="F49" s="47" t="s">
        <v>230</v>
      </c>
      <c r="G49" s="40" t="s">
        <v>93</v>
      </c>
      <c r="H49" s="49">
        <v>1</v>
      </c>
      <c r="I49" s="39"/>
      <c r="J49" s="50">
        <v>1</v>
      </c>
      <c r="K49" s="50">
        <v>0.2</v>
      </c>
      <c r="L49" s="48">
        <f t="shared" si="7"/>
        <v>0.2</v>
      </c>
      <c r="M49" s="42">
        <f t="shared" si="5"/>
        <v>16</v>
      </c>
    </row>
    <row r="50" s="1" customFormat="1" ht="68" customHeight="1" spans="1:13">
      <c r="A50" s="39" t="s">
        <v>222</v>
      </c>
      <c r="B50" s="40" t="s">
        <v>223</v>
      </c>
      <c r="C50" s="39" t="s">
        <v>233</v>
      </c>
      <c r="D50" s="40" t="s">
        <v>43</v>
      </c>
      <c r="E50" s="39" t="s">
        <v>232</v>
      </c>
      <c r="F50" s="47" t="s">
        <v>230</v>
      </c>
      <c r="G50" s="40" t="s">
        <v>93</v>
      </c>
      <c r="H50" s="49">
        <v>1</v>
      </c>
      <c r="I50" s="39"/>
      <c r="J50" s="50">
        <v>1</v>
      </c>
      <c r="K50" s="50">
        <v>0.2</v>
      </c>
      <c r="L50" s="48">
        <f t="shared" si="7"/>
        <v>0.2</v>
      </c>
      <c r="M50" s="42">
        <f t="shared" si="5"/>
        <v>16</v>
      </c>
    </row>
    <row r="51" s="1" customFormat="1" ht="55" customHeight="1" spans="1:13">
      <c r="A51" s="39" t="s">
        <v>222</v>
      </c>
      <c r="B51" s="40" t="s">
        <v>223</v>
      </c>
      <c r="C51" s="39" t="s">
        <v>234</v>
      </c>
      <c r="D51" s="40" t="s">
        <v>43</v>
      </c>
      <c r="E51" s="39" t="s">
        <v>235</v>
      </c>
      <c r="F51" s="47" t="s">
        <v>230</v>
      </c>
      <c r="G51" s="40" t="s">
        <v>93</v>
      </c>
      <c r="H51" s="49">
        <v>0.85</v>
      </c>
      <c r="I51" s="39"/>
      <c r="J51" s="50">
        <v>0.8</v>
      </c>
      <c r="K51" s="40"/>
      <c r="L51" s="48">
        <f t="shared" ref="L51:L56" si="8">K51/J51</f>
        <v>0</v>
      </c>
      <c r="M51" s="42">
        <f t="shared" ref="M51:M60" si="9">IF(L51&gt;=1.5,80,IF(L51&gt;=1,60+(L51-1)/0.5*20,IF(L51&gt;=0.5,40+(L51-0.5)/0.5*20,L51/0.5*40)))</f>
        <v>0</v>
      </c>
    </row>
    <row r="52" s="1" customFormat="1" ht="55" customHeight="1" spans="1:13">
      <c r="A52" s="39" t="s">
        <v>222</v>
      </c>
      <c r="B52" s="40" t="s">
        <v>223</v>
      </c>
      <c r="C52" s="39" t="s">
        <v>236</v>
      </c>
      <c r="D52" s="40" t="s">
        <v>43</v>
      </c>
      <c r="E52" s="39" t="s">
        <v>235</v>
      </c>
      <c r="F52" s="47" t="s">
        <v>230</v>
      </c>
      <c r="G52" s="40" t="s">
        <v>93</v>
      </c>
      <c r="H52" s="49">
        <v>0.85</v>
      </c>
      <c r="I52" s="39"/>
      <c r="J52" s="50">
        <v>0.8</v>
      </c>
      <c r="K52" s="40"/>
      <c r="L52" s="48">
        <f t="shared" si="8"/>
        <v>0</v>
      </c>
      <c r="M52" s="42">
        <f t="shared" si="9"/>
        <v>0</v>
      </c>
    </row>
    <row r="53" s="1" customFormat="1" ht="55" customHeight="1" spans="1:13">
      <c r="A53" s="39" t="s">
        <v>222</v>
      </c>
      <c r="B53" s="40" t="s">
        <v>223</v>
      </c>
      <c r="C53" s="39" t="s">
        <v>237</v>
      </c>
      <c r="D53" s="40" t="s">
        <v>43</v>
      </c>
      <c r="E53" s="39" t="s">
        <v>235</v>
      </c>
      <c r="F53" s="47" t="s">
        <v>230</v>
      </c>
      <c r="G53" s="40" t="s">
        <v>93</v>
      </c>
      <c r="H53" s="49">
        <v>0.85</v>
      </c>
      <c r="I53" s="39"/>
      <c r="J53" s="50">
        <v>0.8</v>
      </c>
      <c r="K53" s="40"/>
      <c r="L53" s="48">
        <f t="shared" si="8"/>
        <v>0</v>
      </c>
      <c r="M53" s="42">
        <f t="shared" si="9"/>
        <v>0</v>
      </c>
    </row>
    <row r="54" s="1" customFormat="1" ht="63" customHeight="1" spans="1:13">
      <c r="A54" s="39" t="s">
        <v>222</v>
      </c>
      <c r="B54" s="40" t="s">
        <v>223</v>
      </c>
      <c r="C54" s="39" t="s">
        <v>238</v>
      </c>
      <c r="D54" s="40" t="s">
        <v>43</v>
      </c>
      <c r="E54" s="39" t="s">
        <v>239</v>
      </c>
      <c r="F54" s="47" t="s">
        <v>230</v>
      </c>
      <c r="G54" s="40" t="s">
        <v>93</v>
      </c>
      <c r="H54" s="49">
        <v>0.7</v>
      </c>
      <c r="I54" s="39"/>
      <c r="J54" s="50">
        <v>0.65</v>
      </c>
      <c r="K54" s="40"/>
      <c r="L54" s="48">
        <f t="shared" si="8"/>
        <v>0</v>
      </c>
      <c r="M54" s="42">
        <f t="shared" si="9"/>
        <v>0</v>
      </c>
    </row>
    <row r="55" s="1" customFormat="1" ht="63" customHeight="1" spans="1:13">
      <c r="A55" s="39" t="s">
        <v>222</v>
      </c>
      <c r="B55" s="40" t="s">
        <v>223</v>
      </c>
      <c r="C55" s="39" t="s">
        <v>240</v>
      </c>
      <c r="D55" s="40" t="s">
        <v>43</v>
      </c>
      <c r="E55" s="39" t="s">
        <v>239</v>
      </c>
      <c r="F55" s="47" t="s">
        <v>230</v>
      </c>
      <c r="G55" s="40" t="s">
        <v>93</v>
      </c>
      <c r="H55" s="49">
        <v>0.7</v>
      </c>
      <c r="I55" s="39"/>
      <c r="J55" s="50">
        <v>0.65</v>
      </c>
      <c r="K55" s="40"/>
      <c r="L55" s="48">
        <f t="shared" si="8"/>
        <v>0</v>
      </c>
      <c r="M55" s="42">
        <f t="shared" si="9"/>
        <v>0</v>
      </c>
    </row>
    <row r="56" s="1" customFormat="1" ht="63" customHeight="1" spans="1:13">
      <c r="A56" s="39" t="s">
        <v>222</v>
      </c>
      <c r="B56" s="40" t="s">
        <v>223</v>
      </c>
      <c r="C56" s="39" t="s">
        <v>241</v>
      </c>
      <c r="D56" s="40" t="s">
        <v>43</v>
      </c>
      <c r="E56" s="39" t="s">
        <v>239</v>
      </c>
      <c r="F56" s="47" t="s">
        <v>230</v>
      </c>
      <c r="G56" s="40" t="s">
        <v>93</v>
      </c>
      <c r="H56" s="49">
        <v>0.7</v>
      </c>
      <c r="I56" s="39"/>
      <c r="J56" s="50">
        <v>0.65</v>
      </c>
      <c r="K56" s="40"/>
      <c r="L56" s="48">
        <f t="shared" si="8"/>
        <v>0</v>
      </c>
      <c r="M56" s="42">
        <f t="shared" si="9"/>
        <v>0</v>
      </c>
    </row>
    <row r="57" s="23" customFormat="1" ht="60" customHeight="1" spans="1:13">
      <c r="A57" s="60" t="s">
        <v>242</v>
      </c>
      <c r="B57" s="60" t="s">
        <v>243</v>
      </c>
      <c r="C57" s="61" t="s">
        <v>244</v>
      </c>
      <c r="D57" s="60" t="s">
        <v>243</v>
      </c>
      <c r="E57" s="61" t="s">
        <v>916</v>
      </c>
      <c r="F57" s="60" t="s">
        <v>908</v>
      </c>
      <c r="G57" s="60"/>
      <c r="H57" s="61">
        <v>0</v>
      </c>
      <c r="I57" s="60"/>
      <c r="J57" s="60">
        <v>-223.16</v>
      </c>
      <c r="K57" s="60"/>
      <c r="L57" s="60"/>
      <c r="M57" s="42">
        <f t="shared" si="9"/>
        <v>0</v>
      </c>
    </row>
    <row r="58" s="1" customFormat="1" ht="71" customHeight="1" spans="1:13">
      <c r="A58" s="39" t="s">
        <v>247</v>
      </c>
      <c r="B58" s="40" t="s">
        <v>243</v>
      </c>
      <c r="C58" s="39" t="s">
        <v>248</v>
      </c>
      <c r="D58" s="40" t="s">
        <v>243</v>
      </c>
      <c r="E58" s="39" t="s">
        <v>917</v>
      </c>
      <c r="F58" s="47" t="s">
        <v>250</v>
      </c>
      <c r="G58" s="40"/>
      <c r="H58" s="39" t="s">
        <v>251</v>
      </c>
      <c r="I58" s="39"/>
      <c r="J58" s="40" t="s">
        <v>252</v>
      </c>
      <c r="K58" s="40"/>
      <c r="L58" s="40"/>
      <c r="M58" s="42">
        <f t="shared" si="9"/>
        <v>0</v>
      </c>
    </row>
    <row r="59" s="20" customFormat="1" ht="81" customHeight="1" spans="1:13">
      <c r="A59" s="32" t="s">
        <v>258</v>
      </c>
      <c r="B59" s="33" t="s">
        <v>259</v>
      </c>
      <c r="C59" s="32" t="s">
        <v>260</v>
      </c>
      <c r="D59" s="33" t="s">
        <v>259</v>
      </c>
      <c r="E59" s="32" t="s">
        <v>918</v>
      </c>
      <c r="F59" s="44" t="s">
        <v>908</v>
      </c>
      <c r="G59" s="55"/>
      <c r="H59" s="32"/>
      <c r="I59" s="32"/>
      <c r="J59" s="33" t="s">
        <v>263</v>
      </c>
      <c r="K59" s="33"/>
      <c r="L59" s="33"/>
      <c r="M59" s="42">
        <f t="shared" si="9"/>
        <v>0</v>
      </c>
    </row>
    <row r="60" s="1" customFormat="1" ht="87" customHeight="1" spans="1:13">
      <c r="A60" s="39" t="s">
        <v>265</v>
      </c>
      <c r="B60" s="40" t="s">
        <v>259</v>
      </c>
      <c r="C60" s="39" t="s">
        <v>266</v>
      </c>
      <c r="D60" s="40" t="s">
        <v>259</v>
      </c>
      <c r="E60" s="39" t="s">
        <v>919</v>
      </c>
      <c r="F60" s="47" t="s">
        <v>908</v>
      </c>
      <c r="G60" s="40"/>
      <c r="H60" s="39"/>
      <c r="I60" s="39"/>
      <c r="J60" s="40" t="s">
        <v>57</v>
      </c>
      <c r="K60" s="40"/>
      <c r="L60" s="40"/>
      <c r="M60" s="42">
        <f t="shared" si="9"/>
        <v>0</v>
      </c>
    </row>
  </sheetData>
  <autoFilter xmlns:etc="http://www.wps.cn/officeDocument/2017/etCustomData" ref="A1:M60" etc:filterBottomFollowUsedRange="0">
    <extLst/>
  </autoFilter>
  <conditionalFormatting sqref="I49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{ad0ce7a2-bab4-4e27-a00e-75aed89bd837}</x14:id>
        </ext>
      </extLst>
    </cfRule>
  </conditionalFormatting>
  <conditionalFormatting sqref="L49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{bfa55621-7aa8-47b2-88c8-a08e9056f2da}</x14:id>
        </ext>
      </extLst>
    </cfRule>
  </conditionalFormatting>
  <conditionalFormatting sqref="M49">
    <cfRule type="cellIs" dxfId="0" priority="26" operator="lessThan">
      <formula>40</formula>
    </cfRule>
    <cfRule type="cellIs" dxfId="1" priority="27" operator="between">
      <formula>40</formula>
      <formula>60</formula>
    </cfRule>
    <cfRule type="cellIs" dxfId="2" priority="28" operator="greaterThan">
      <formula>59.999999</formula>
    </cfRule>
  </conditionalFormatting>
  <conditionalFormatting sqref="I5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{e6efe9a3-7314-43d8-ba97-bedeaa383b15}</x14:id>
        </ext>
      </extLst>
    </cfRule>
  </conditionalFormatting>
  <conditionalFormatting sqref="L50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{393846d7-cba2-4514-95d1-1e6d0a9fcfaa}</x14:id>
        </ext>
      </extLst>
    </cfRule>
  </conditionalFormatting>
  <conditionalFormatting sqref="M50">
    <cfRule type="cellIs" dxfId="0" priority="21" operator="lessThan">
      <formula>40</formula>
    </cfRule>
    <cfRule type="cellIs" dxfId="1" priority="22" operator="between">
      <formula>40</formula>
      <formula>60</formula>
    </cfRule>
    <cfRule type="cellIs" dxfId="2" priority="23" operator="greaterThan">
      <formula>59.999999</formula>
    </cfRule>
  </conditionalFormatting>
  <conditionalFormatting sqref="I52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{e944625b-d476-49e1-80e3-fd98d6bfec5e}</x14:id>
        </ext>
      </extLst>
    </cfRule>
  </conditionalFormatting>
  <conditionalFormatting sqref="L5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{8798ff10-e95a-48fc-ba0f-6d0218077327}</x14:id>
        </ext>
      </extLst>
    </cfRule>
  </conditionalFormatting>
  <conditionalFormatting sqref="M52">
    <cfRule type="cellIs" dxfId="0" priority="12" operator="lessThan">
      <formula>40</formula>
    </cfRule>
    <cfRule type="cellIs" dxfId="1" priority="14" operator="between">
      <formula>40</formula>
      <formula>60</formula>
    </cfRule>
    <cfRule type="cellIs" dxfId="2" priority="16" operator="greaterThan">
      <formula>59.999999</formula>
    </cfRule>
  </conditionalFormatting>
  <conditionalFormatting sqref="I5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{649f0450-9199-4e0a-8863-8e973da2fd45}</x14:id>
        </ext>
      </extLst>
    </cfRule>
  </conditionalFormatting>
  <conditionalFormatting sqref="L53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{bd40f887-4723-4806-a3f7-11b2b7af5cc4}</x14:id>
        </ext>
      </extLst>
    </cfRule>
  </conditionalFormatting>
  <conditionalFormatting sqref="M53">
    <cfRule type="cellIs" dxfId="0" priority="11" operator="lessThan">
      <formula>40</formula>
    </cfRule>
    <cfRule type="cellIs" dxfId="1" priority="13" operator="between">
      <formula>40</formula>
      <formula>60</formula>
    </cfRule>
    <cfRule type="cellIs" dxfId="2" priority="15" operator="greaterThan">
      <formula>59.999999</formula>
    </cfRule>
  </conditionalFormatting>
  <conditionalFormatting sqref="I5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{0de7e63a-863d-4463-9648-f6bc0ead6246}</x14:id>
        </ext>
      </extLst>
    </cfRule>
  </conditionalFormatting>
  <conditionalFormatting sqref="L5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{4851e11f-245f-4a58-87f1-2ae82dd7ed7c}</x14:id>
        </ext>
      </extLst>
    </cfRule>
  </conditionalFormatting>
  <conditionalFormatting sqref="M54">
    <cfRule type="cellIs" dxfId="0" priority="2" operator="lessThan">
      <formula>40</formula>
    </cfRule>
    <cfRule type="cellIs" dxfId="1" priority="4" operator="between">
      <formula>40</formula>
      <formula>60</formula>
    </cfRule>
    <cfRule type="cellIs" dxfId="2" priority="6" operator="greaterThan">
      <formula>59.999999</formula>
    </cfRule>
  </conditionalFormatting>
  <conditionalFormatting sqref="I5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{663e001c-45bc-473a-a2c5-b65762bbe0ce}</x14:id>
        </ext>
      </extLst>
    </cfRule>
  </conditionalFormatting>
  <conditionalFormatting sqref="L5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{0add1b60-3ffd-481e-8624-ef6499cf5d31}</x14:id>
        </ext>
      </extLst>
    </cfRule>
  </conditionalFormatting>
  <conditionalFormatting sqref="M55">
    <cfRule type="cellIs" dxfId="0" priority="1" operator="lessThan">
      <formula>40</formula>
    </cfRule>
    <cfRule type="cellIs" dxfId="1" priority="3" operator="between">
      <formula>40</formula>
      <formula>60</formula>
    </cfRule>
    <cfRule type="cellIs" dxfId="2" priority="5" operator="greaterThan">
      <formula>59.999999</formula>
    </cfRule>
  </conditionalFormatting>
  <conditionalFormatting sqref="I1:I48 I51 I56:I1048576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{cf7513bf-73f4-47a2-8e58-70facd42ecb9}</x14:id>
        </ext>
      </extLst>
    </cfRule>
  </conditionalFormatting>
  <conditionalFormatting sqref="L1:L48 L51 L56:L1048576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{eace4e1d-9986-4f48-ae84-f83e3ec9e2b5}</x14:id>
        </ext>
      </extLst>
    </cfRule>
  </conditionalFormatting>
  <conditionalFormatting sqref="M1:M48 M51 M56:M1048576">
    <cfRule type="cellIs" dxfId="0" priority="31" operator="lessThan">
      <formula>40</formula>
    </cfRule>
    <cfRule type="cellIs" dxfId="1" priority="32" operator="between">
      <formula>40</formula>
      <formula>60</formula>
    </cfRule>
    <cfRule type="cellIs" dxfId="2" priority="33" operator="greaterThan">
      <formula>59.999999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ce7a2-bab4-4e27-a00e-75aed89bd8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I49</xm:sqref>
        </x14:conditionalFormatting>
        <x14:conditionalFormatting xmlns:xm="http://schemas.microsoft.com/office/excel/2006/main">
          <x14:cfRule type="dataBar" id="{bfa55621-7aa8-47b2-88c8-a08e9056f2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L49</xm:sqref>
        </x14:conditionalFormatting>
        <x14:conditionalFormatting xmlns:xm="http://schemas.microsoft.com/office/excel/2006/main">
          <x14:cfRule type="dataBar" id="{e6efe9a3-7314-43d8-ba97-bedeaa383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393846d7-cba2-4514-95d1-1e6d0a9fcf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L50</xm:sqref>
        </x14:conditionalFormatting>
        <x14:conditionalFormatting xmlns:xm="http://schemas.microsoft.com/office/excel/2006/main">
          <x14:cfRule type="dataBar" id="{e944625b-d476-49e1-80e3-fd98d6bfec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I52</xm:sqref>
        </x14:conditionalFormatting>
        <x14:conditionalFormatting xmlns:xm="http://schemas.microsoft.com/office/excel/2006/main">
          <x14:cfRule type="dataBar" id="{8798ff10-e95a-48fc-ba0f-6d02180773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L52</xm:sqref>
        </x14:conditionalFormatting>
        <x14:conditionalFormatting xmlns:xm="http://schemas.microsoft.com/office/excel/2006/main">
          <x14:cfRule type="dataBar" id="{649f0450-9199-4e0a-8863-8e973da2f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bd40f887-4723-4806-a3f7-11b2b7af5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L53</xm:sqref>
        </x14:conditionalFormatting>
        <x14:conditionalFormatting xmlns:xm="http://schemas.microsoft.com/office/excel/2006/main">
          <x14:cfRule type="dataBar" id="{0de7e63a-863d-4463-9648-f6bc0ead62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I54</xm:sqref>
        </x14:conditionalFormatting>
        <x14:conditionalFormatting xmlns:xm="http://schemas.microsoft.com/office/excel/2006/main">
          <x14:cfRule type="dataBar" id="{4851e11f-245f-4a58-87f1-2ae82dd7ed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L54</xm:sqref>
        </x14:conditionalFormatting>
        <x14:conditionalFormatting xmlns:xm="http://schemas.microsoft.com/office/excel/2006/main">
          <x14:cfRule type="dataBar" id="{663e001c-45bc-473a-a2c5-b65762bbe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I55</xm:sqref>
        </x14:conditionalFormatting>
        <x14:conditionalFormatting xmlns:xm="http://schemas.microsoft.com/office/excel/2006/main">
          <x14:cfRule type="dataBar" id="{0add1b60-3ffd-481e-8624-ef6499cf5d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  <x14:conditionalFormatting xmlns:xm="http://schemas.microsoft.com/office/excel/2006/main">
          <x14:cfRule type="dataBar" id="{cf7513bf-73f4-47a2-8e58-70facd42e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I1:I48 I51 I56:I1048576</xm:sqref>
        </x14:conditionalFormatting>
        <x14:conditionalFormatting xmlns:xm="http://schemas.microsoft.com/office/excel/2006/main">
          <x14:cfRule type="dataBar" id="{eace4e1d-9986-4f48-ae84-f83e3ec9e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L1:L48 L51 L56:L1048576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4"/>
  <sheetViews>
    <sheetView workbookViewId="0">
      <selection activeCell="F10" sqref="F10"/>
    </sheetView>
  </sheetViews>
  <sheetFormatPr defaultColWidth="9.02654867256637" defaultRowHeight="11.25"/>
  <cols>
    <col min="1" max="1" width="18" style="1" customWidth="1"/>
    <col min="2" max="2" width="15.3362831858407" style="1" customWidth="1"/>
    <col min="3" max="3" width="15.7345132743363" style="2" customWidth="1"/>
    <col min="4" max="4" width="31.3982300884956" style="3" customWidth="1"/>
    <col min="5" max="5" width="35.9203539823009" style="3" customWidth="1"/>
    <col min="6" max="6" width="20.716814159292" style="3" customWidth="1"/>
    <col min="7" max="16384" width="9.02654867256637" style="4"/>
  </cols>
  <sheetData>
    <row r="1" spans="1:15">
      <c r="A1" s="5" t="s">
        <v>0</v>
      </c>
      <c r="B1" s="5" t="s">
        <v>2</v>
      </c>
      <c r="C1" s="6" t="s">
        <v>920</v>
      </c>
      <c r="D1" s="5" t="s">
        <v>921</v>
      </c>
      <c r="E1" s="5" t="s">
        <v>922</v>
      </c>
      <c r="F1" s="5" t="s">
        <v>923</v>
      </c>
      <c r="G1" s="5" t="s">
        <v>924</v>
      </c>
      <c r="H1" s="5" t="s">
        <v>925</v>
      </c>
      <c r="I1" s="5" t="s">
        <v>926</v>
      </c>
      <c r="J1" s="5" t="s">
        <v>927</v>
      </c>
      <c r="K1" s="5" t="s">
        <v>928</v>
      </c>
      <c r="L1" s="5" t="s">
        <v>929</v>
      </c>
      <c r="M1" s="5" t="s">
        <v>930</v>
      </c>
      <c r="N1" s="5" t="s">
        <v>931</v>
      </c>
      <c r="O1" s="5" t="s">
        <v>932</v>
      </c>
    </row>
    <row r="2" ht="101.25" spans="1:15">
      <c r="A2" s="7" t="s">
        <v>23</v>
      </c>
      <c r="B2" s="7"/>
      <c r="C2" s="7">
        <v>12</v>
      </c>
      <c r="D2" s="8" t="s">
        <v>933</v>
      </c>
      <c r="E2" s="8" t="s">
        <v>934</v>
      </c>
      <c r="F2" s="8"/>
      <c r="G2" s="9" t="s">
        <v>935</v>
      </c>
      <c r="H2" s="9" t="s">
        <v>935</v>
      </c>
      <c r="I2" s="9" t="s">
        <v>935</v>
      </c>
      <c r="J2" s="9" t="s">
        <v>935</v>
      </c>
      <c r="K2" s="9" t="s">
        <v>935</v>
      </c>
      <c r="L2" s="9" t="s">
        <v>935</v>
      </c>
      <c r="M2" s="9" t="s">
        <v>935</v>
      </c>
      <c r="N2" s="9" t="s">
        <v>935</v>
      </c>
      <c r="O2" s="9" t="s">
        <v>935</v>
      </c>
    </row>
    <row r="3" ht="112.5" spans="1:15">
      <c r="A3" s="10" t="s">
        <v>42</v>
      </c>
      <c r="B3" s="10"/>
      <c r="C3" s="10">
        <v>15</v>
      </c>
      <c r="D3" s="8" t="s">
        <v>936</v>
      </c>
      <c r="E3" s="8" t="s">
        <v>937</v>
      </c>
      <c r="F3" s="8" t="s">
        <v>938</v>
      </c>
      <c r="G3" s="9" t="s">
        <v>935</v>
      </c>
      <c r="H3" s="9" t="s">
        <v>935</v>
      </c>
      <c r="I3" s="9" t="s">
        <v>935</v>
      </c>
      <c r="J3" s="9" t="s">
        <v>935</v>
      </c>
      <c r="K3" s="9" t="s">
        <v>935</v>
      </c>
      <c r="L3" s="9" t="s">
        <v>935</v>
      </c>
      <c r="M3" s="9" t="s">
        <v>935</v>
      </c>
      <c r="N3" s="9" t="s">
        <v>935</v>
      </c>
      <c r="O3" s="9" t="s">
        <v>935</v>
      </c>
    </row>
    <row r="4" ht="78.75" spans="1:15">
      <c r="A4" s="7" t="s">
        <v>49</v>
      </c>
      <c r="B4" s="7"/>
      <c r="C4" s="7">
        <v>10</v>
      </c>
      <c r="D4" s="8" t="s">
        <v>939</v>
      </c>
      <c r="E4" s="8" t="s">
        <v>940</v>
      </c>
      <c r="F4" s="8"/>
      <c r="G4" s="9" t="s">
        <v>935</v>
      </c>
      <c r="H4" s="9" t="s">
        <v>25</v>
      </c>
      <c r="I4" s="9" t="s">
        <v>935</v>
      </c>
      <c r="J4" s="9" t="s">
        <v>25</v>
      </c>
      <c r="K4" s="9" t="s">
        <v>935</v>
      </c>
      <c r="M4" s="9" t="s">
        <v>25</v>
      </c>
      <c r="N4" s="9" t="s">
        <v>25</v>
      </c>
      <c r="O4" s="9" t="s">
        <v>25</v>
      </c>
    </row>
    <row r="5" ht="56.25" spans="1:15">
      <c r="A5" s="11" t="s">
        <v>66</v>
      </c>
      <c r="B5" s="10" t="s">
        <v>941</v>
      </c>
      <c r="C5" s="10">
        <v>1</v>
      </c>
      <c r="D5" s="8" t="s">
        <v>942</v>
      </c>
      <c r="E5" s="8" t="s">
        <v>943</v>
      </c>
      <c r="F5" s="8" t="s">
        <v>944</v>
      </c>
      <c r="G5" s="9"/>
      <c r="H5" s="9"/>
      <c r="I5" s="9"/>
      <c r="J5" s="9"/>
      <c r="K5" s="9"/>
      <c r="L5" s="9"/>
      <c r="M5" s="9"/>
      <c r="N5" s="9"/>
      <c r="O5" s="9"/>
    </row>
    <row r="6" ht="56.25" spans="1:15">
      <c r="A6" s="12"/>
      <c r="B6" s="10" t="s">
        <v>945</v>
      </c>
      <c r="C6" s="10">
        <v>5</v>
      </c>
      <c r="D6" s="8" t="s">
        <v>946</v>
      </c>
      <c r="E6" s="8" t="s">
        <v>947</v>
      </c>
      <c r="F6" s="8" t="s">
        <v>944</v>
      </c>
      <c r="G6" s="9"/>
      <c r="H6" s="9"/>
      <c r="I6" s="9"/>
      <c r="J6" s="9"/>
      <c r="K6" s="9"/>
      <c r="L6" s="9"/>
      <c r="M6" s="9"/>
      <c r="N6" s="9"/>
      <c r="O6" s="9"/>
    </row>
    <row r="7" ht="22.5" spans="1:15">
      <c r="A7" s="12"/>
      <c r="B7" s="10" t="s">
        <v>948</v>
      </c>
      <c r="C7" s="10">
        <v>2</v>
      </c>
      <c r="D7" s="8" t="s">
        <v>949</v>
      </c>
      <c r="E7" s="8" t="s">
        <v>950</v>
      </c>
      <c r="F7" s="8" t="s">
        <v>951</v>
      </c>
      <c r="G7" s="9"/>
      <c r="H7" s="9"/>
      <c r="I7" s="9"/>
      <c r="J7" s="9"/>
      <c r="K7" s="9"/>
      <c r="L7" s="9"/>
      <c r="M7" s="9"/>
      <c r="N7" s="9"/>
      <c r="O7" s="9"/>
    </row>
    <row r="8" ht="191.25" spans="1:15">
      <c r="A8" s="12"/>
      <c r="B8" s="10" t="s">
        <v>952</v>
      </c>
      <c r="C8" s="10">
        <v>8</v>
      </c>
      <c r="D8" s="8" t="s">
        <v>953</v>
      </c>
      <c r="E8" s="8" t="s">
        <v>954</v>
      </c>
      <c r="F8" s="8" t="s">
        <v>951</v>
      </c>
      <c r="G8" s="9"/>
      <c r="H8" s="9"/>
      <c r="I8" s="9"/>
      <c r="J8" s="9"/>
      <c r="K8" s="9"/>
      <c r="L8" s="9"/>
      <c r="M8" s="9"/>
      <c r="N8" s="9"/>
      <c r="O8" s="9"/>
    </row>
    <row r="9" ht="56.25" spans="1:15">
      <c r="A9" s="13"/>
      <c r="B9" s="10" t="s">
        <v>955</v>
      </c>
      <c r="C9" s="10">
        <v>1</v>
      </c>
      <c r="D9" s="8" t="s">
        <v>956</v>
      </c>
      <c r="E9" s="8" t="s">
        <v>957</v>
      </c>
      <c r="F9" s="8"/>
      <c r="G9" s="9"/>
      <c r="H9" s="9"/>
      <c r="I9" s="9"/>
      <c r="J9" s="9"/>
      <c r="K9" s="9"/>
      <c r="L9" s="9"/>
      <c r="M9" s="9"/>
      <c r="N9" s="9"/>
      <c r="O9" s="9"/>
    </row>
    <row r="10" ht="202.5" spans="1:15">
      <c r="A10" s="14" t="s">
        <v>125</v>
      </c>
      <c r="B10" s="14"/>
      <c r="C10" s="14">
        <v>3</v>
      </c>
      <c r="D10" s="8" t="s">
        <v>958</v>
      </c>
      <c r="E10" s="8" t="s">
        <v>959</v>
      </c>
      <c r="F10" s="8" t="s">
        <v>960</v>
      </c>
      <c r="G10" s="9"/>
      <c r="H10" s="9"/>
      <c r="I10" s="9"/>
      <c r="J10" s="9"/>
      <c r="K10" s="9"/>
      <c r="L10" s="9"/>
      <c r="M10" s="9"/>
      <c r="N10" s="9"/>
      <c r="O10" s="9"/>
    </row>
    <row r="11" ht="191.25" spans="1:15">
      <c r="A11" s="14"/>
      <c r="B11" s="14"/>
      <c r="C11" s="14"/>
      <c r="D11" s="8" t="s">
        <v>961</v>
      </c>
      <c r="E11" s="8" t="s">
        <v>962</v>
      </c>
      <c r="F11" s="8"/>
      <c r="G11" s="9"/>
      <c r="H11" s="9"/>
      <c r="I11" s="9"/>
      <c r="J11" s="9"/>
      <c r="K11" s="9"/>
      <c r="L11" s="9"/>
      <c r="M11" s="9"/>
      <c r="N11" s="9"/>
      <c r="O11" s="9"/>
    </row>
    <row r="12" ht="191.25" spans="1:15">
      <c r="A12" s="10" t="s">
        <v>163</v>
      </c>
      <c r="B12" s="10"/>
      <c r="C12" s="10">
        <v>2</v>
      </c>
      <c r="D12" s="8" t="s">
        <v>963</v>
      </c>
      <c r="E12" s="8" t="s">
        <v>964</v>
      </c>
      <c r="F12" s="8" t="s">
        <v>960</v>
      </c>
      <c r="G12" s="9"/>
      <c r="H12" s="9"/>
      <c r="I12" s="9"/>
      <c r="J12" s="9"/>
      <c r="K12" s="9"/>
      <c r="L12" s="9"/>
      <c r="M12" s="9"/>
      <c r="N12" s="9"/>
      <c r="O12" s="9"/>
    </row>
    <row r="13" ht="157.5" spans="1:15">
      <c r="A13" s="7" t="s">
        <v>180</v>
      </c>
      <c r="B13" s="7"/>
      <c r="C13" s="7">
        <v>5</v>
      </c>
      <c r="D13" s="8"/>
      <c r="E13" s="8" t="s">
        <v>965</v>
      </c>
      <c r="F13" s="8" t="s">
        <v>966</v>
      </c>
      <c r="G13" s="9"/>
      <c r="H13" s="9"/>
      <c r="I13" s="9"/>
      <c r="J13" s="9"/>
      <c r="K13" s="9"/>
      <c r="L13" s="9"/>
      <c r="M13" s="9"/>
      <c r="N13" s="9"/>
      <c r="O13" s="9"/>
    </row>
    <row r="14" ht="39" customHeight="1" spans="1:15">
      <c r="A14" s="11" t="s">
        <v>199</v>
      </c>
      <c r="B14" s="10" t="s">
        <v>967</v>
      </c>
      <c r="C14" s="10">
        <v>6</v>
      </c>
      <c r="D14" s="15" t="s">
        <v>968</v>
      </c>
      <c r="E14" s="8" t="s">
        <v>969</v>
      </c>
      <c r="F14" s="8"/>
      <c r="G14" s="9"/>
      <c r="H14" s="9"/>
      <c r="I14" s="9"/>
      <c r="J14" s="9"/>
      <c r="K14" s="9"/>
      <c r="L14" s="9"/>
      <c r="M14" s="9"/>
      <c r="N14" s="9"/>
      <c r="O14" s="9"/>
    </row>
    <row r="15" ht="39" customHeight="1" spans="1:15">
      <c r="A15" s="12"/>
      <c r="B15" s="10" t="s">
        <v>970</v>
      </c>
      <c r="C15" s="10">
        <v>6</v>
      </c>
      <c r="D15" s="16"/>
      <c r="E15" s="8" t="s">
        <v>969</v>
      </c>
      <c r="F15" s="8"/>
      <c r="G15" s="9"/>
      <c r="H15" s="9"/>
      <c r="I15" s="9"/>
      <c r="J15" s="9"/>
      <c r="K15" s="9"/>
      <c r="L15" s="9"/>
      <c r="M15" s="9"/>
      <c r="N15" s="9"/>
      <c r="O15" s="9"/>
    </row>
    <row r="16" ht="39" customHeight="1" spans="1:15">
      <c r="A16" s="12"/>
      <c r="B16" s="10" t="s">
        <v>971</v>
      </c>
      <c r="C16" s="10">
        <v>50</v>
      </c>
      <c r="D16" s="16"/>
      <c r="E16" s="8" t="s">
        <v>972</v>
      </c>
      <c r="F16" s="8" t="s">
        <v>973</v>
      </c>
      <c r="G16" s="9"/>
      <c r="H16" s="9"/>
      <c r="I16" s="9"/>
      <c r="J16" s="9"/>
      <c r="K16" s="9"/>
      <c r="L16" s="9"/>
      <c r="M16" s="9"/>
      <c r="N16" s="9"/>
      <c r="O16" s="9"/>
    </row>
    <row r="17" ht="39" customHeight="1" spans="1:15">
      <c r="A17" s="12"/>
      <c r="B17" s="10" t="s">
        <v>974</v>
      </c>
      <c r="C17" s="10">
        <v>75</v>
      </c>
      <c r="D17" s="17"/>
      <c r="E17" s="8" t="s">
        <v>975</v>
      </c>
      <c r="F17" s="8" t="s">
        <v>973</v>
      </c>
      <c r="G17" s="9"/>
      <c r="H17" s="9"/>
      <c r="I17" s="9"/>
      <c r="J17" s="9"/>
      <c r="K17" s="9"/>
      <c r="L17" s="9"/>
      <c r="M17" s="9"/>
      <c r="N17" s="9"/>
      <c r="O17" s="9"/>
    </row>
    <row r="18" ht="101.25" spans="1:15">
      <c r="A18" s="7" t="s">
        <v>217</v>
      </c>
      <c r="B18" s="7"/>
      <c r="C18" s="7">
        <v>3</v>
      </c>
      <c r="D18" s="8" t="s">
        <v>976</v>
      </c>
      <c r="E18" s="8" t="s">
        <v>977</v>
      </c>
      <c r="F18" s="8" t="s">
        <v>951</v>
      </c>
      <c r="G18" s="9"/>
      <c r="H18" s="9"/>
      <c r="I18" s="9"/>
      <c r="J18" s="9"/>
      <c r="K18" s="9"/>
      <c r="L18" s="9"/>
      <c r="M18" s="9"/>
      <c r="N18" s="9"/>
      <c r="O18" s="9"/>
    </row>
    <row r="19" ht="146.25" spans="1:15">
      <c r="A19" s="11" t="s">
        <v>222</v>
      </c>
      <c r="B19" s="10" t="s">
        <v>224</v>
      </c>
      <c r="C19" s="10">
        <v>20</v>
      </c>
      <c r="D19" s="8" t="s">
        <v>978</v>
      </c>
      <c r="E19" s="8" t="s">
        <v>979</v>
      </c>
      <c r="F19" s="8" t="s">
        <v>980</v>
      </c>
      <c r="G19" s="9"/>
      <c r="H19" s="9"/>
      <c r="I19" s="9"/>
      <c r="J19" s="9"/>
      <c r="K19" s="9"/>
      <c r="L19" s="9"/>
      <c r="M19" s="9"/>
      <c r="N19" s="9"/>
      <c r="O19" s="9"/>
    </row>
    <row r="20" ht="202.5" spans="1:15">
      <c r="A20" s="13"/>
      <c r="B20" s="10" t="s">
        <v>981</v>
      </c>
      <c r="C20" s="10">
        <v>5</v>
      </c>
      <c r="D20" s="8" t="s">
        <v>982</v>
      </c>
      <c r="E20" s="8" t="s">
        <v>983</v>
      </c>
      <c r="F20" s="8" t="s">
        <v>984</v>
      </c>
      <c r="G20" s="9"/>
      <c r="H20" s="9"/>
      <c r="I20" s="9"/>
      <c r="J20" s="9"/>
      <c r="K20" s="9"/>
      <c r="L20" s="9"/>
      <c r="M20" s="9"/>
      <c r="N20" s="9"/>
      <c r="O20" s="9"/>
    </row>
    <row r="21" ht="33.75" spans="1:15">
      <c r="A21" s="18" t="s">
        <v>242</v>
      </c>
      <c r="B21" s="18"/>
      <c r="C21" s="19">
        <v>5</v>
      </c>
      <c r="D21" s="8" t="s">
        <v>985</v>
      </c>
      <c r="E21" s="8" t="s">
        <v>986</v>
      </c>
      <c r="F21" s="8"/>
      <c r="G21" s="9"/>
      <c r="H21" s="9"/>
      <c r="I21" s="9"/>
      <c r="J21" s="9"/>
      <c r="K21" s="9"/>
      <c r="L21" s="9"/>
      <c r="M21" s="9"/>
      <c r="N21" s="9"/>
      <c r="O21" s="9"/>
    </row>
    <row r="22" ht="33.75" spans="1:15">
      <c r="A22" s="10" t="s">
        <v>247</v>
      </c>
      <c r="B22" s="10"/>
      <c r="C22" s="10">
        <v>5</v>
      </c>
      <c r="D22" s="8" t="s">
        <v>987</v>
      </c>
      <c r="E22" s="8" t="s">
        <v>986</v>
      </c>
      <c r="F22" s="8"/>
      <c r="G22" s="9"/>
      <c r="H22" s="9"/>
      <c r="I22" s="9"/>
      <c r="J22" s="9"/>
      <c r="K22" s="9"/>
      <c r="L22" s="9"/>
      <c r="M22" s="9"/>
      <c r="N22" s="9"/>
      <c r="O22" s="9"/>
    </row>
    <row r="23" ht="22.5" spans="1:15">
      <c r="A23" s="7" t="s">
        <v>258</v>
      </c>
      <c r="B23" s="7"/>
      <c r="C23" s="7">
        <v>5</v>
      </c>
      <c r="D23" s="8" t="s">
        <v>988</v>
      </c>
      <c r="E23" s="8" t="s">
        <v>989</v>
      </c>
      <c r="F23" s="8"/>
      <c r="G23" s="9"/>
      <c r="H23" s="9"/>
      <c r="I23" s="9"/>
      <c r="J23" s="9"/>
      <c r="K23" s="9"/>
      <c r="L23" s="9"/>
      <c r="M23" s="9"/>
      <c r="N23" s="9"/>
      <c r="O23" s="9"/>
    </row>
    <row r="24" ht="22.5" spans="1:15">
      <c r="A24" s="10" t="s">
        <v>265</v>
      </c>
      <c r="B24" s="10"/>
      <c r="C24" s="10">
        <v>1</v>
      </c>
      <c r="D24" s="8" t="s">
        <v>990</v>
      </c>
      <c r="E24" s="8" t="s">
        <v>989</v>
      </c>
      <c r="F24" s="8"/>
      <c r="G24" s="9"/>
      <c r="H24" s="9"/>
      <c r="I24" s="9"/>
      <c r="J24" s="9"/>
      <c r="K24" s="9"/>
      <c r="L24" s="9"/>
      <c r="M24" s="9"/>
      <c r="N24" s="9"/>
      <c r="O24" s="9"/>
    </row>
  </sheetData>
  <mergeCells count="4">
    <mergeCell ref="A5:A9"/>
    <mergeCell ref="A14:A17"/>
    <mergeCell ref="A19:A20"/>
    <mergeCell ref="D14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目标管理</vt:lpstr>
      <vt:lpstr>项目里程碑</vt:lpstr>
      <vt:lpstr>项目计划</vt:lpstr>
      <vt:lpstr>3月健康度核算</vt:lpstr>
      <vt:lpstr>3月目标达成核算</vt:lpstr>
      <vt:lpstr>绩效应用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袁德明</cp:lastModifiedBy>
  <dcterms:created xsi:type="dcterms:W3CDTF">2026-04-13T03:00:00Z</dcterms:created>
  <dcterms:modified xsi:type="dcterms:W3CDTF">2026-04-17T09:51:24Z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0093F03E29A74FE3AA2A451A52D99AD9_11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